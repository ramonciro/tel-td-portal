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31.50.246\Treinamento_OP$\Comercio\PRODUTOS_COMÉRCIO\SUPERVISORA DE TREINAMENTO\"/>
    </mc:Choice>
  </mc:AlternateContent>
  <bookViews>
    <workbookView xWindow="0" yWindow="0" windowWidth="20490" windowHeight="7650" tabRatio="730"/>
  </bookViews>
  <sheets>
    <sheet name="Base_Dados" sheetId="1" r:id="rId1"/>
    <sheet name="Dimensoes" sheetId="2" r:id="rId2"/>
    <sheet name="Dashboard_Semanal" sheetId="3" r:id="rId3"/>
    <sheet name="Dashboard_Mensal" sheetId="4" r:id="rId4"/>
    <sheet name="Dashboard_Acumulado" sheetId="5" r:id="rId5"/>
    <sheet name="Efetividade" sheetId="6" r:id="rId6"/>
    <sheet name="Instrutores" sheetId="7" r:id="rId7"/>
    <sheet name="Relatorio" sheetId="8" r:id="rId8"/>
  </sheets>
  <calcPr calcId="162913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3" i="1"/>
  <c r="D10" i="7"/>
  <c r="D9" i="7"/>
  <c r="D8" i="7"/>
  <c r="D7" i="7"/>
  <c r="D6" i="7"/>
  <c r="D5" i="7"/>
  <c r="D4" i="7"/>
  <c r="D10" i="6"/>
  <c r="D9" i="6"/>
  <c r="D8" i="6"/>
  <c r="D7" i="6"/>
  <c r="D6" i="6"/>
  <c r="D5" i="6"/>
  <c r="D4" i="6"/>
  <c r="B26" i="5"/>
  <c r="C26" i="5" s="1"/>
  <c r="B25" i="5"/>
  <c r="B24" i="5"/>
  <c r="C24" i="5" s="1"/>
  <c r="B23" i="5"/>
  <c r="B22" i="5"/>
  <c r="C22" i="5" s="1"/>
  <c r="B21" i="5"/>
  <c r="B20" i="5"/>
  <c r="C20" i="5" s="1"/>
  <c r="B19" i="5"/>
  <c r="B18" i="5"/>
  <c r="C18" i="5" s="1"/>
  <c r="B17" i="5"/>
  <c r="B16" i="5"/>
  <c r="C16" i="5" s="1"/>
  <c r="B15" i="5"/>
  <c r="D10" i="5"/>
  <c r="D9" i="5"/>
  <c r="D8" i="5"/>
  <c r="D7" i="5"/>
  <c r="D6" i="5"/>
  <c r="D5" i="5"/>
  <c r="D4" i="5"/>
  <c r="I3" i="5" s="1"/>
  <c r="E3" i="5"/>
  <c r="C19" i="4"/>
  <c r="B19" i="4"/>
  <c r="C18" i="4"/>
  <c r="B18" i="4"/>
  <c r="C17" i="4"/>
  <c r="B17" i="4"/>
  <c r="C16" i="4"/>
  <c r="B16" i="4"/>
  <c r="C15" i="4"/>
  <c r="B15" i="4"/>
  <c r="D10" i="4"/>
  <c r="D9" i="4"/>
  <c r="D8" i="4"/>
  <c r="D7" i="4"/>
  <c r="D6" i="4"/>
  <c r="D5" i="4"/>
  <c r="D4" i="4"/>
  <c r="A21" i="3"/>
  <c r="A20" i="3"/>
  <c r="A19" i="3"/>
  <c r="A18" i="3"/>
  <c r="A17" i="3"/>
  <c r="A16" i="3"/>
  <c r="A15" i="3"/>
  <c r="D10" i="3"/>
  <c r="D9" i="3"/>
  <c r="D8" i="3"/>
  <c r="D7" i="3"/>
  <c r="D6" i="3"/>
  <c r="D5" i="3"/>
  <c r="D4" i="3"/>
  <c r="V62" i="1"/>
  <c r="U62" i="1"/>
  <c r="N62" i="1"/>
  <c r="E62" i="1"/>
  <c r="D62" i="1"/>
  <c r="V61" i="1"/>
  <c r="U61" i="1"/>
  <c r="N61" i="1"/>
  <c r="E61" i="1"/>
  <c r="D61" i="1"/>
  <c r="V60" i="1"/>
  <c r="U60" i="1"/>
  <c r="N60" i="1"/>
  <c r="E60" i="1"/>
  <c r="D60" i="1"/>
  <c r="V59" i="1"/>
  <c r="U59" i="1"/>
  <c r="N59" i="1"/>
  <c r="E59" i="1"/>
  <c r="D59" i="1"/>
  <c r="V58" i="1"/>
  <c r="U58" i="1"/>
  <c r="N58" i="1"/>
  <c r="E58" i="1"/>
  <c r="D58" i="1"/>
  <c r="V57" i="1"/>
  <c r="U57" i="1"/>
  <c r="N57" i="1"/>
  <c r="E57" i="1"/>
  <c r="D57" i="1"/>
  <c r="V56" i="1"/>
  <c r="U56" i="1"/>
  <c r="N56" i="1"/>
  <c r="E56" i="1"/>
  <c r="D56" i="1"/>
  <c r="V55" i="1"/>
  <c r="U55" i="1"/>
  <c r="N55" i="1"/>
  <c r="E55" i="1"/>
  <c r="D55" i="1"/>
  <c r="V54" i="1"/>
  <c r="U54" i="1"/>
  <c r="N54" i="1"/>
  <c r="E54" i="1"/>
  <c r="D54" i="1"/>
  <c r="V53" i="1"/>
  <c r="U53" i="1"/>
  <c r="N53" i="1"/>
  <c r="E53" i="1"/>
  <c r="D53" i="1"/>
  <c r="V52" i="1"/>
  <c r="U52" i="1"/>
  <c r="N52" i="1"/>
  <c r="E52" i="1"/>
  <c r="D52" i="1"/>
  <c r="V51" i="1"/>
  <c r="U51" i="1"/>
  <c r="N51" i="1"/>
  <c r="E51" i="1"/>
  <c r="D51" i="1"/>
  <c r="V50" i="1"/>
  <c r="U50" i="1"/>
  <c r="N50" i="1"/>
  <c r="E50" i="1"/>
  <c r="D50" i="1"/>
  <c r="V49" i="1"/>
  <c r="U49" i="1"/>
  <c r="N49" i="1"/>
  <c r="E49" i="1"/>
  <c r="D49" i="1"/>
  <c r="V48" i="1"/>
  <c r="U48" i="1"/>
  <c r="N48" i="1"/>
  <c r="E48" i="1"/>
  <c r="D48" i="1"/>
  <c r="V47" i="1"/>
  <c r="U47" i="1"/>
  <c r="N47" i="1"/>
  <c r="E47" i="1"/>
  <c r="D47" i="1"/>
  <c r="V46" i="1"/>
  <c r="U46" i="1"/>
  <c r="N46" i="1"/>
  <c r="E46" i="1"/>
  <c r="D46" i="1"/>
  <c r="V45" i="1"/>
  <c r="U45" i="1"/>
  <c r="N45" i="1"/>
  <c r="E45" i="1"/>
  <c r="D45" i="1"/>
  <c r="V44" i="1"/>
  <c r="U44" i="1"/>
  <c r="N44" i="1"/>
  <c r="E44" i="1"/>
  <c r="D44" i="1"/>
  <c r="V43" i="1"/>
  <c r="U43" i="1"/>
  <c r="N43" i="1"/>
  <c r="E43" i="1"/>
  <c r="D43" i="1"/>
  <c r="V42" i="1"/>
  <c r="U42" i="1"/>
  <c r="N42" i="1"/>
  <c r="E42" i="1"/>
  <c r="D42" i="1"/>
  <c r="V41" i="1"/>
  <c r="U41" i="1"/>
  <c r="N41" i="1"/>
  <c r="E41" i="1"/>
  <c r="D41" i="1"/>
  <c r="V40" i="1"/>
  <c r="U40" i="1"/>
  <c r="N40" i="1"/>
  <c r="E40" i="1"/>
  <c r="D40" i="1"/>
  <c r="V39" i="1"/>
  <c r="U39" i="1"/>
  <c r="N39" i="1"/>
  <c r="E39" i="1"/>
  <c r="D39" i="1"/>
  <c r="V38" i="1"/>
  <c r="U38" i="1"/>
  <c r="N38" i="1"/>
  <c r="E38" i="1"/>
  <c r="D38" i="1"/>
  <c r="V37" i="1"/>
  <c r="U37" i="1"/>
  <c r="N37" i="1"/>
  <c r="E37" i="1"/>
  <c r="D37" i="1"/>
  <c r="V36" i="1"/>
  <c r="U36" i="1"/>
  <c r="N36" i="1"/>
  <c r="E36" i="1"/>
  <c r="D36" i="1"/>
  <c r="V35" i="1"/>
  <c r="U35" i="1"/>
  <c r="N35" i="1"/>
  <c r="E35" i="1"/>
  <c r="D35" i="1"/>
  <c r="V34" i="1"/>
  <c r="U34" i="1"/>
  <c r="N34" i="1"/>
  <c r="E34" i="1"/>
  <c r="D34" i="1"/>
  <c r="V33" i="1"/>
  <c r="U33" i="1"/>
  <c r="N33" i="1"/>
  <c r="E33" i="1"/>
  <c r="D33" i="1"/>
  <c r="V32" i="1"/>
  <c r="U32" i="1"/>
  <c r="N32" i="1"/>
  <c r="E32" i="1"/>
  <c r="D32" i="1"/>
  <c r="V31" i="1"/>
  <c r="U31" i="1"/>
  <c r="N31" i="1"/>
  <c r="E31" i="1"/>
  <c r="D31" i="1"/>
  <c r="V30" i="1"/>
  <c r="U30" i="1"/>
  <c r="N30" i="1"/>
  <c r="E30" i="1"/>
  <c r="D30" i="1"/>
  <c r="V29" i="1"/>
  <c r="U29" i="1"/>
  <c r="N29" i="1"/>
  <c r="E29" i="1"/>
  <c r="D29" i="1"/>
  <c r="V28" i="1"/>
  <c r="U28" i="1"/>
  <c r="N28" i="1"/>
  <c r="E28" i="1"/>
  <c r="D28" i="1"/>
  <c r="V27" i="1"/>
  <c r="U27" i="1"/>
  <c r="N27" i="1"/>
  <c r="E27" i="1"/>
  <c r="D27" i="1"/>
  <c r="V26" i="1"/>
  <c r="U26" i="1"/>
  <c r="N26" i="1"/>
  <c r="E26" i="1"/>
  <c r="D26" i="1"/>
  <c r="V25" i="1"/>
  <c r="U25" i="1"/>
  <c r="N25" i="1"/>
  <c r="E25" i="1"/>
  <c r="D25" i="1"/>
  <c r="V24" i="1"/>
  <c r="U24" i="1"/>
  <c r="N24" i="1"/>
  <c r="E24" i="1"/>
  <c r="D24" i="1"/>
  <c r="V23" i="1"/>
  <c r="U23" i="1"/>
  <c r="N23" i="1"/>
  <c r="E23" i="1"/>
  <c r="D23" i="1"/>
  <c r="V22" i="1"/>
  <c r="U22" i="1"/>
  <c r="N22" i="1"/>
  <c r="E22" i="1"/>
  <c r="D22" i="1"/>
  <c r="V21" i="1"/>
  <c r="U21" i="1"/>
  <c r="N21" i="1"/>
  <c r="E21" i="1"/>
  <c r="D21" i="1"/>
  <c r="V20" i="1"/>
  <c r="U20" i="1"/>
  <c r="N20" i="1"/>
  <c r="E20" i="1"/>
  <c r="D20" i="1"/>
  <c r="V19" i="1"/>
  <c r="U19" i="1"/>
  <c r="N19" i="1"/>
  <c r="E19" i="1"/>
  <c r="D19" i="1"/>
  <c r="V18" i="1"/>
  <c r="U18" i="1"/>
  <c r="N18" i="1"/>
  <c r="E18" i="1"/>
  <c r="D18" i="1"/>
  <c r="V17" i="1"/>
  <c r="U17" i="1"/>
  <c r="N17" i="1"/>
  <c r="E17" i="1"/>
  <c r="D17" i="1"/>
  <c r="V16" i="1"/>
  <c r="U16" i="1"/>
  <c r="N16" i="1"/>
  <c r="E16" i="1"/>
  <c r="D16" i="1"/>
  <c r="V15" i="1"/>
  <c r="U15" i="1"/>
  <c r="N15" i="1"/>
  <c r="E15" i="1"/>
  <c r="D15" i="1"/>
  <c r="V14" i="1"/>
  <c r="U14" i="1"/>
  <c r="N14" i="1"/>
  <c r="E14" i="1"/>
  <c r="D14" i="1"/>
  <c r="V13" i="1"/>
  <c r="U13" i="1"/>
  <c r="N13" i="1"/>
  <c r="E13" i="1"/>
  <c r="D13" i="1"/>
  <c r="V12" i="1"/>
  <c r="U12" i="1"/>
  <c r="N12" i="1"/>
  <c r="E12" i="1"/>
  <c r="D12" i="1"/>
  <c r="V11" i="1"/>
  <c r="U11" i="1"/>
  <c r="N11" i="1"/>
  <c r="E11" i="1"/>
  <c r="D11" i="1"/>
  <c r="V10" i="1"/>
  <c r="U10" i="1"/>
  <c r="N10" i="1"/>
  <c r="E10" i="1"/>
  <c r="D10" i="1"/>
  <c r="V9" i="1"/>
  <c r="U9" i="1"/>
  <c r="N9" i="1"/>
  <c r="E9" i="1"/>
  <c r="D9" i="1"/>
  <c r="V8" i="1"/>
  <c r="U8" i="1"/>
  <c r="N8" i="1"/>
  <c r="E8" i="1"/>
  <c r="D8" i="1"/>
  <c r="V7" i="1"/>
  <c r="U7" i="1"/>
  <c r="N7" i="1"/>
  <c r="E7" i="1"/>
  <c r="D7" i="1"/>
  <c r="V6" i="1"/>
  <c r="U6" i="1"/>
  <c r="N6" i="1"/>
  <c r="E6" i="1"/>
  <c r="D6" i="1"/>
  <c r="V5" i="1"/>
  <c r="U5" i="1"/>
  <c r="N5" i="1"/>
  <c r="E5" i="1"/>
  <c r="D5" i="1"/>
  <c r="V4" i="1"/>
  <c r="U4" i="1"/>
  <c r="N4" i="1"/>
  <c r="E4" i="1"/>
  <c r="D4" i="1"/>
  <c r="V3" i="1"/>
  <c r="U3" i="1"/>
  <c r="N3" i="1"/>
  <c r="E3" i="1"/>
  <c r="D3" i="1"/>
  <c r="B15" i="7" l="1"/>
  <c r="E16" i="7"/>
  <c r="C18" i="7"/>
  <c r="F19" i="7"/>
  <c r="D21" i="7"/>
  <c r="E24" i="7"/>
  <c r="C15" i="7"/>
  <c r="F16" i="7"/>
  <c r="D18" i="7"/>
  <c r="B20" i="7"/>
  <c r="F24" i="7"/>
  <c r="D15" i="7"/>
  <c r="B22" i="7" s="1"/>
  <c r="B17" i="7"/>
  <c r="E18" i="7"/>
  <c r="C20" i="7"/>
  <c r="F21" i="7"/>
  <c r="D23" i="7"/>
  <c r="F14" i="7"/>
  <c r="E23" i="7"/>
  <c r="B19" i="7"/>
  <c r="C22" i="7"/>
  <c r="B16" i="7"/>
  <c r="C19" i="7"/>
  <c r="F22" i="7"/>
  <c r="E21" i="7"/>
  <c r="E15" i="7"/>
  <c r="C17" i="7"/>
  <c r="F18" i="7"/>
  <c r="D20" i="7"/>
  <c r="E14" i="7"/>
  <c r="F23" i="7"/>
  <c r="E17" i="7"/>
  <c r="D22" i="7"/>
  <c r="E19" i="7"/>
  <c r="F15" i="7"/>
  <c r="D17" i="7"/>
  <c r="B24" i="7" s="1"/>
  <c r="E20" i="7"/>
  <c r="D14" i="7"/>
  <c r="B21" i="7" s="1"/>
  <c r="F20" i="7"/>
  <c r="C14" i="7"/>
  <c r="C23" i="7"/>
  <c r="C16" i="7"/>
  <c r="F17" i="7"/>
  <c r="D19" i="7"/>
  <c r="E22" i="7"/>
  <c r="C24" i="7"/>
  <c r="B14" i="7"/>
  <c r="D16" i="7"/>
  <c r="B23" i="7" s="1"/>
  <c r="B18" i="7"/>
  <c r="C21" i="7"/>
  <c r="D24" i="7"/>
  <c r="B17" i="6"/>
  <c r="B19" i="6"/>
  <c r="B15" i="6"/>
  <c r="D21" i="6"/>
  <c r="B29" i="6"/>
  <c r="B21" i="6"/>
  <c r="G3" i="5"/>
  <c r="B26" i="3"/>
  <c r="B27" i="3"/>
  <c r="B31" i="3"/>
  <c r="C19" i="3"/>
  <c r="C18" i="3"/>
  <c r="C16" i="3"/>
  <c r="B25" i="3"/>
  <c r="B32" i="3"/>
  <c r="B28" i="6"/>
  <c r="B30" i="4"/>
  <c r="B25" i="4"/>
  <c r="E19" i="4"/>
  <c r="I5" i="4"/>
  <c r="E3" i="4"/>
  <c r="D17" i="4"/>
  <c r="D19" i="4"/>
  <c r="D15" i="4"/>
  <c r="B17" i="3"/>
  <c r="I3" i="4"/>
  <c r="B26" i="4"/>
  <c r="D16" i="5"/>
  <c r="D18" i="5"/>
  <c r="D20" i="5"/>
  <c r="D22" i="5"/>
  <c r="D24" i="5"/>
  <c r="D26" i="5"/>
  <c r="E15" i="6"/>
  <c r="E17" i="6"/>
  <c r="E19" i="6"/>
  <c r="E21" i="6"/>
  <c r="E5" i="3"/>
  <c r="C17" i="3"/>
  <c r="B20" i="3"/>
  <c r="B28" i="3"/>
  <c r="D16" i="4"/>
  <c r="D18" i="4"/>
  <c r="B27" i="4"/>
  <c r="E16" i="5"/>
  <c r="E18" i="5"/>
  <c r="E20" i="5"/>
  <c r="E22" i="5"/>
  <c r="E24" i="5"/>
  <c r="E26" i="5"/>
  <c r="B14" i="6"/>
  <c r="B16" i="6"/>
  <c r="B18" i="6"/>
  <c r="B20" i="6"/>
  <c r="B26" i="6"/>
  <c r="G5" i="3"/>
  <c r="B15" i="3"/>
  <c r="C20" i="3"/>
  <c r="B29" i="3"/>
  <c r="E16" i="4"/>
  <c r="E18" i="4"/>
  <c r="B28" i="4"/>
  <c r="E5" i="5"/>
  <c r="C14" i="6"/>
  <c r="C16" i="6"/>
  <c r="C18" i="6"/>
  <c r="C20" i="6"/>
  <c r="B27" i="6"/>
  <c r="C21" i="3"/>
  <c r="I5" i="3"/>
  <c r="C15" i="3"/>
  <c r="B18" i="3"/>
  <c r="B30" i="3"/>
  <c r="E5" i="4"/>
  <c r="B29" i="4"/>
  <c r="G5" i="5"/>
  <c r="C15" i="5"/>
  <c r="E15" i="5" s="1"/>
  <c r="C17" i="5"/>
  <c r="E17" i="5" s="1"/>
  <c r="C19" i="5"/>
  <c r="E19" i="5" s="1"/>
  <c r="C21" i="5"/>
  <c r="E21" i="5" s="1"/>
  <c r="C23" i="5"/>
  <c r="E23" i="5" s="1"/>
  <c r="C25" i="5"/>
  <c r="E25" i="5" s="1"/>
  <c r="D14" i="6"/>
  <c r="D16" i="6"/>
  <c r="D18" i="6"/>
  <c r="D20" i="6"/>
  <c r="G3" i="3"/>
  <c r="B16" i="3"/>
  <c r="E3" i="3"/>
  <c r="B21" i="3"/>
  <c r="G5" i="4"/>
  <c r="I5" i="5"/>
  <c r="E14" i="6"/>
  <c r="E16" i="6"/>
  <c r="E18" i="6"/>
  <c r="E20" i="6"/>
  <c r="E15" i="4"/>
  <c r="E17" i="4"/>
  <c r="C15" i="6"/>
  <c r="C17" i="6"/>
  <c r="C19" i="6"/>
  <c r="C21" i="6"/>
  <c r="I3" i="3"/>
  <c r="B19" i="3"/>
  <c r="G3" i="4"/>
  <c r="D15" i="6"/>
  <c r="D17" i="6"/>
  <c r="D19" i="6"/>
  <c r="B4" i="8" l="1"/>
  <c r="B10" i="8"/>
  <c r="B7" i="8"/>
  <c r="D19" i="5"/>
  <c r="D23" i="5"/>
  <c r="D15" i="5"/>
  <c r="D21" i="5"/>
  <c r="D25" i="5"/>
  <c r="D17" i="5"/>
</calcChain>
</file>

<file path=xl/sharedStrings.xml><?xml version="1.0" encoding="utf-8"?>
<sst xmlns="http://schemas.openxmlformats.org/spreadsheetml/2006/main" count="375" uniqueCount="149">
  <si>
    <t>ID</t>
  </si>
  <si>
    <t>Data</t>
  </si>
  <si>
    <t>Semana_ISO</t>
  </si>
  <si>
    <t>Mês</t>
  </si>
  <si>
    <t>Ano</t>
  </si>
  <si>
    <t>Cliente</t>
  </si>
  <si>
    <t>Tipo_Treinamento</t>
  </si>
  <si>
    <t>Instrutor</t>
  </si>
  <si>
    <t>Supervisor</t>
  </si>
  <si>
    <t>Turma</t>
  </si>
  <si>
    <t>Participantes</t>
  </si>
  <si>
    <t>Presenças</t>
  </si>
  <si>
    <t>Faltas</t>
  </si>
  <si>
    <t>% Presença</t>
  </si>
  <si>
    <t>Avaliação (0-10)</t>
  </si>
  <si>
    <t>Indicador</t>
  </si>
  <si>
    <t>Antes</t>
  </si>
  <si>
    <t>Depois</t>
  </si>
  <si>
    <t>Janela (dias)</t>
  </si>
  <si>
    <t>Observações</t>
  </si>
  <si>
    <t>Evolução %</t>
  </si>
  <si>
    <t>Impacto_Pos (0/1)</t>
  </si>
  <si>
    <t>KPI Negócio</t>
  </si>
  <si>
    <t>Valor Antes</t>
  </si>
  <si>
    <t>Valor D+7</t>
  </si>
  <si>
    <t>Valor D+15</t>
  </si>
  <si>
    <t>Valor D+30</t>
  </si>
  <si>
    <t>Impacto %</t>
  </si>
  <si>
    <t>(preencher)</t>
  </si>
  <si>
    <t>(data)</t>
  </si>
  <si>
    <t>(auto)</t>
  </si>
  <si>
    <t>(lista)</t>
  </si>
  <si>
    <t>(texto)</t>
  </si>
  <si>
    <t>(n)</t>
  </si>
  <si>
    <t>7/15/30</t>
  </si>
  <si>
    <t>Opcional</t>
  </si>
  <si>
    <t>Mercantil</t>
  </si>
  <si>
    <t>Processos</t>
  </si>
  <si>
    <t>TMA</t>
  </si>
  <si>
    <t>Claro</t>
  </si>
  <si>
    <t>Qualidade</t>
  </si>
  <si>
    <t>E-commerce</t>
  </si>
  <si>
    <t>Atualização</t>
  </si>
  <si>
    <t>Produto</t>
  </si>
  <si>
    <t>Conversao</t>
  </si>
  <si>
    <t>Reciclagem</t>
  </si>
  <si>
    <t>NPS</t>
  </si>
  <si>
    <t>Educação</t>
  </si>
  <si>
    <t>Tecnologia</t>
  </si>
  <si>
    <t>Saúde</t>
  </si>
  <si>
    <t>Inicial</t>
  </si>
  <si>
    <t>Comportamental</t>
  </si>
  <si>
    <t>Agibank</t>
  </si>
  <si>
    <t>KPIs_Negocio</t>
  </si>
  <si>
    <t>Todos</t>
  </si>
  <si>
    <t>Conversão</t>
  </si>
  <si>
    <t>NPS Operacional</t>
  </si>
  <si>
    <t>Absenteísmo</t>
  </si>
  <si>
    <t>Dashboard T&amp;D — Semanal</t>
  </si>
  <si>
    <t>Filtros</t>
  </si>
  <si>
    <t>Critérios (auto)</t>
  </si>
  <si>
    <t>Data inicial</t>
  </si>
  <si>
    <t>Treinamentos</t>
  </si>
  <si>
    <t>Colab. treinados (presenças)</t>
  </si>
  <si>
    <t>% presença</t>
  </si>
  <si>
    <t>Data final</t>
  </si>
  <si>
    <t>Nota média</t>
  </si>
  <si>
    <t>Evolução média (indicador)</t>
  </si>
  <si>
    <t>% turmas c/ impacto +</t>
  </si>
  <si>
    <t>Tipo de Treinamento</t>
  </si>
  <si>
    <t>Indicador (para efetividade)</t>
  </si>
  <si>
    <t>Resumo diário</t>
  </si>
  <si>
    <t>Treinamentos por tipo</t>
  </si>
  <si>
    <t>Tipo</t>
  </si>
  <si>
    <t>Dica: preencha novos registros na aba Base_Dados (linhas a partir da 3). O dashboard atualiza automaticamente.</t>
  </si>
  <si>
    <t>Dashboard T&amp;D — Mensal</t>
  </si>
  <si>
    <t>Obs.: Ajuste o filtro de datas para abranger o mês inteiro.</t>
  </si>
  <si>
    <t>Resumo por semana (7 dias)</t>
  </si>
  <si>
    <t>Semana</t>
  </si>
  <si>
    <t>Início</t>
  </si>
  <si>
    <t>Fim</t>
  </si>
  <si>
    <t>Semana 1</t>
  </si>
  <si>
    <t>Semana 2</t>
  </si>
  <si>
    <t>Semana 3</t>
  </si>
  <si>
    <t>Semana 4</t>
  </si>
  <si>
    <t>Semana 5</t>
  </si>
  <si>
    <t>Treinamentos por cliente</t>
  </si>
  <si>
    <t>Dica: use os filtros para comparar clientes, tipos e instrutores dentro do mês.</t>
  </si>
  <si>
    <t>Dashboard T&amp;D — Acumulado (Ano)</t>
  </si>
  <si>
    <t>Ano (para gráfico mensal)</t>
  </si>
  <si>
    <t>Resumo mensal (Ano selecionado)</t>
  </si>
  <si>
    <t>Dica: use os filtros acima para ver o acumulado por cliente/tipo/instrutor.</t>
  </si>
  <si>
    <t>Efetividade do Treinamento (Impacto)</t>
  </si>
  <si>
    <t>Média de evolução (%) por tipo de treinamento (filtros aplicados acima)</t>
  </si>
  <si>
    <t>% impacto +</t>
  </si>
  <si>
    <t>Evolução média</t>
  </si>
  <si>
    <t>Evolução média por indicador</t>
  </si>
  <si>
    <t>Observação: “Evolução %” é calculada por (Depois - Antes) / Antes na Base_Dados.</t>
  </si>
  <si>
    <t>Performance — Instrutores</t>
  </si>
  <si>
    <t>Indicadores por instrutor (filtros aplicados acima)</t>
  </si>
  <si>
    <t>Sugestão de uso: combine com feedback qualitativo e supervisão em sala para plano de desenvolvimento do instrutor.</t>
  </si>
  <si>
    <t>Relatório Automático (copiar e colar)</t>
  </si>
  <si>
    <t>Texto</t>
  </si>
  <si>
    <t>Mensal</t>
  </si>
  <si>
    <t>Acumulado</t>
  </si>
  <si>
    <t>Como usar</t>
  </si>
  <si>
    <t>1) Preencha a Base_Dados (linhas a partir da 3).</t>
  </si>
  <si>
    <t>2) Use os filtros nas abas de Dashboard para o período desejado.</t>
  </si>
  <si>
    <t>3) Copie os textos acima para e-mail ou apresentação.</t>
  </si>
  <si>
    <t>4) Use a aba Efetividade para priorizar ajustes (treinos sem impacto).</t>
  </si>
  <si>
    <t>Rede Américas</t>
  </si>
  <si>
    <t>Buser</t>
  </si>
  <si>
    <t>Crea</t>
  </si>
  <si>
    <t>Prefeitura de Salvador</t>
  </si>
  <si>
    <t>Hugsnet</t>
  </si>
  <si>
    <t>Evelin Rocha</t>
  </si>
  <si>
    <t>Laiane Santos</t>
  </si>
  <si>
    <t>Leticia Ramos</t>
  </si>
  <si>
    <t>Hiago Amor</t>
  </si>
  <si>
    <t>Maricelia Santos</t>
  </si>
  <si>
    <t>Diogo Silva</t>
  </si>
  <si>
    <t>Fabiane Almeida</t>
  </si>
  <si>
    <t>Sarah Almeida</t>
  </si>
  <si>
    <t>Alessandra Ferreira</t>
  </si>
  <si>
    <t>Wilze Oliveira</t>
  </si>
  <si>
    <t>Etilaine Souza</t>
  </si>
  <si>
    <t xml:space="preserve">Listas para validação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</si>
  <si>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</si>
  <si>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</si>
  <si>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</si>
  <si>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</si>
  <si>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</si>
  <si>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</si>
  <si>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</si>
  <si>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</si>
  <si>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</si>
  <si>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</si>
  <si>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</si>
  <si>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</si>
  <si>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Amilis Oliveira</t>
  </si>
  <si>
    <t>Zaina Doria</t>
  </si>
  <si>
    <t>Av. Técnica</t>
  </si>
  <si>
    <t>Celula Baby</t>
  </si>
  <si>
    <t>MERCANTIL</t>
  </si>
  <si>
    <t>FCR/ÓBITO</t>
  </si>
  <si>
    <t xml:space="preserve">REPOSIÇÃO ENTREGUES COM 5 DIAS </t>
  </si>
  <si>
    <t>Reciclagem Retenção MEU+</t>
  </si>
  <si>
    <t>Desaverbação/CP não domiciliado+Seguro prestamista+Diversidade Etária</t>
  </si>
  <si>
    <t>Atualiza 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</si>
</sst>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F4E79"/>
      <name val="Calibri"/>
    </font>
    <font>
      <b/>
      <sz val="12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  <font>
      <b/>
      <sz val="18"/>
      <color rgb="FFFFFFFF"/>
      <name val="Calibri"/>
    </font>
    <font>
      <b/>
      <sz val="11"/>
      <color rgb="FF0000FF"/>
      <name val="Calibri"/>
    </font>
    <font>
      <sz val="9"/>
      <color rgb="FF595959"/>
      <name val="Calibri"/>
    </font>
    <font>
      <b/>
      <sz val="14"/>
      <color rgb="FF1F4E79"/>
      <name val="Calibri"/>
    </font>
    <font>
      <i/>
      <sz val="9"/>
      <color rgb="FF595959"/>
      <name val="Calibri"/>
    </font>
    <font>
      <sz val="11"/>
      <color rgb="FF404040"/>
      <name val="Calibri"/>
    </font>
    <font>
      <b/>
      <sz val="9"/>
      <color rgb="FF595959"/>
      <name val="Calibri"/>
    </font>
    <font>
      <b/>
      <sz val="11"/>
      <color rgb="FF1F4E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1" fontId="0" fillId="0" borderId="0" xfId="0" applyNumberFormat="1"/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0" xfId="0" applyFont="1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" fontId="7" fillId="6" borderId="1" xfId="0" applyNumberFormat="1" applyFont="1" applyFill="1" applyBorder="1" applyAlignment="1">
      <alignment horizontal="left" vertical="center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7" fillId="6" borderId="1" xfId="0" applyNumberFormat="1" applyFont="1" applyFill="1" applyBorder="1" applyAlignment="1">
      <alignment horizontal="left" vertic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0" fillId="0" borderId="0" xfId="0"/>
    <xf numFmtId="164" fontId="9" fillId="7" borderId="1" xfId="0" applyNumberFormat="1" applyFont="1" applyFill="1" applyBorder="1" applyAlignment="1">
      <alignment horizontal="center" vertical="center"/>
    </xf>
    <xf numFmtId="0" fontId="0" fillId="0" borderId="2" xfId="0" applyBorder="1"/>
    <xf numFmtId="165" fontId="9" fillId="7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" fontId="9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0" fillId="0" borderId="0" xfId="0" applyFont="1"/>
    <xf numFmtId="0" fontId="9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bl_TD" displayName="tbl_TD" ref="A1:V62">
  <autoFilter ref="A1:V62"/>
  <tableColumns count="22">
    <tableColumn id="1" name="ID"/>
    <tableColumn id="2" name="Data"/>
    <tableColumn id="3" name="Semana_ISO"/>
    <tableColumn id="4" name="Mês"/>
    <tableColumn id="5" name="Ano"/>
    <tableColumn id="6" name="Cliente"/>
    <tableColumn id="7" name="Tipo_Treinamento"/>
    <tableColumn id="8" name="Instrutor"/>
    <tableColumn id="9" name="Supervisor"/>
    <tableColumn id="10" name="Turma"/>
    <tableColumn id="11" name="Participantes"/>
    <tableColumn id="12" name="Presenças"/>
    <tableColumn id="13" name="Faltas"/>
    <tableColumn id="14" name="% Presença"/>
    <tableColumn id="15" name="Avaliação (0-10)"/>
    <tableColumn id="16" name="Indicador"/>
    <tableColumn id="17" name="Antes"/>
    <tableColumn id="18" name="Depois"/>
    <tableColumn id="19" name="Janela (dias)"/>
    <tableColumn id="20" name="Observações"/>
    <tableColumn id="21" name="Evolução %"/>
    <tableColumn id="22" name="Impacto_Pos (0/1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2"/>
  <sheetViews>
    <sheetView showGridLines="0" tabSelected="1" zoomScale="85" zoomScaleNormal="85" workbookViewId="0">
      <selection activeCell="H19" sqref="H19"/>
    </sheetView>
  </sheetViews>
  <sheetFormatPr defaultRowHeight="15" x14ac:dyDescent="0.25"/>
  <cols>
    <col min="1" max="1" width="11.85546875" customWidth="1"/>
    <col min="2" max="2" width="11.28515625" bestFit="1" customWidth="1"/>
    <col min="3" max="3" width="19.140625" bestFit="1" customWidth="1"/>
    <col min="4" max="4" width="10.7109375" bestFit="1" customWidth="1"/>
    <col min="5" max="5" width="10.5703125" bestFit="1" customWidth="1"/>
    <col min="6" max="6" width="22" bestFit="1" customWidth="1"/>
    <col min="7" max="7" width="25.140625" bestFit="1" customWidth="1"/>
    <col min="8" max="8" width="19.5703125" bestFit="1" customWidth="1"/>
    <col min="9" max="9" width="17.28515625" bestFit="1" customWidth="1"/>
    <col min="10" max="10" width="71.7109375" bestFit="1" customWidth="1"/>
    <col min="11" max="11" width="19.5703125" bestFit="1" customWidth="1"/>
    <col min="12" max="12" width="16.42578125" bestFit="1" customWidth="1"/>
    <col min="13" max="13" width="12.28515625" bestFit="1" customWidth="1"/>
    <col min="14" max="14" width="17.5703125" bestFit="1" customWidth="1"/>
    <col min="15" max="15" width="22.140625" bestFit="1" customWidth="1"/>
    <col min="16" max="16" width="16.140625" bestFit="1" customWidth="1"/>
    <col min="17" max="17" width="12.28515625" bestFit="1" customWidth="1"/>
    <col min="18" max="18" width="13.42578125" bestFit="1" customWidth="1"/>
    <col min="19" max="19" width="18.85546875" bestFit="1" customWidth="1"/>
    <col min="20" max="20" width="19.42578125" bestFit="1" customWidth="1"/>
    <col min="21" max="21" width="17.85546875" bestFit="1" customWidth="1"/>
    <col min="22" max="22" width="25" bestFit="1" customWidth="1"/>
    <col min="23" max="24" width="11.7109375" bestFit="1" customWidth="1"/>
    <col min="25" max="25" width="9.85546875" bestFit="1" customWidth="1"/>
    <col min="26" max="27" width="10.85546875" bestFit="1" customWidth="1"/>
    <col min="28" max="28" width="10.5703125" bestFit="1" customWidth="1"/>
  </cols>
  <sheetData>
    <row r="1" spans="1:2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21.95" customHeight="1" x14ac:dyDescent="0.25">
      <c r="A2" s="2" t="s">
        <v>28</v>
      </c>
      <c r="B2" s="2" t="s">
        <v>29</v>
      </c>
      <c r="C2" s="2" t="s">
        <v>30</v>
      </c>
      <c r="D2" s="2" t="s">
        <v>30</v>
      </c>
      <c r="E2" s="2" t="s">
        <v>30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32</v>
      </c>
      <c r="K2" s="2" t="s">
        <v>33</v>
      </c>
      <c r="L2" s="2" t="s">
        <v>33</v>
      </c>
      <c r="M2" s="2" t="s">
        <v>30</v>
      </c>
      <c r="N2" s="2" t="s">
        <v>30</v>
      </c>
      <c r="O2" s="2" t="s">
        <v>33</v>
      </c>
      <c r="P2" s="2" t="s">
        <v>31</v>
      </c>
      <c r="Q2" s="2" t="s">
        <v>33</v>
      </c>
      <c r="R2" s="2" t="s">
        <v>33</v>
      </c>
      <c r="S2" s="2" t="s">
        <v>34</v>
      </c>
      <c r="T2" s="2" t="s">
        <v>35</v>
      </c>
      <c r="U2" s="3" t="s">
        <v>30</v>
      </c>
      <c r="V2" s="3" t="s">
        <v>30</v>
      </c>
    </row>
    <row r="3" spans="1:28" x14ac:dyDescent="0.25">
      <c r="A3">
        <v>1</v>
      </c>
      <c r="B3" s="17">
        <v>46005</v>
      </c>
      <c r="C3" s="26">
        <f>_xlfn.ISOWEEKNUM(tbl_TD[[#This Row],[Data]])</f>
        <v>50</v>
      </c>
      <c r="D3">
        <f t="shared" ref="D3:D34" si="0">MONTH(B3)</f>
        <v>12</v>
      </c>
      <c r="E3">
        <f t="shared" ref="E3:E34" si="1">YEAR(B3)</f>
        <v>2025</v>
      </c>
      <c r="F3" s="4" t="s">
        <v>143</v>
      </c>
      <c r="G3" s="4" t="s">
        <v>141</v>
      </c>
      <c r="H3" s="4" t="s">
        <v>122</v>
      </c>
      <c r="I3" s="4" t="s">
        <v>140</v>
      </c>
      <c r="K3" s="5">
        <v>30</v>
      </c>
      <c r="L3" s="5">
        <v>30</v>
      </c>
      <c r="M3" s="5"/>
      <c r="N3" s="18">
        <f t="shared" ref="N3:N34" si="2">IFERROR(L3/K3,0)</f>
        <v>1</v>
      </c>
      <c r="O3" s="19"/>
      <c r="P3" s="4"/>
      <c r="Q3" s="19"/>
      <c r="R3" s="19"/>
      <c r="T3" s="6"/>
      <c r="U3" s="18">
        <f t="shared" ref="U3:U34" si="3">IFERROR((R3-Q3)/Q3,0)</f>
        <v>0</v>
      </c>
      <c r="V3" s="5">
        <f t="shared" ref="V3:V34" si="4">IF(R3&gt;Q3,1,0)</f>
        <v>0</v>
      </c>
    </row>
    <row r="4" spans="1:28" x14ac:dyDescent="0.25">
      <c r="A4">
        <v>2</v>
      </c>
      <c r="B4" s="17">
        <v>46038</v>
      </c>
      <c r="C4" s="26">
        <f>_xlfn.ISOWEEKNUM(tbl_TD[[#This Row],[Data]])</f>
        <v>3</v>
      </c>
      <c r="D4">
        <f t="shared" si="0"/>
        <v>1</v>
      </c>
      <c r="E4">
        <f t="shared" si="1"/>
        <v>2026</v>
      </c>
      <c r="F4" s="4" t="s">
        <v>143</v>
      </c>
      <c r="G4" s="4" t="s">
        <v>141</v>
      </c>
      <c r="H4" s="4" t="s">
        <v>116</v>
      </c>
      <c r="I4" s="4" t="s">
        <v>140</v>
      </c>
      <c r="K4" s="5">
        <v>45</v>
      </c>
      <c r="L4" s="5">
        <v>45</v>
      </c>
      <c r="M4" s="5"/>
      <c r="N4" s="18">
        <f t="shared" si="2"/>
        <v>1</v>
      </c>
      <c r="O4" s="19"/>
      <c r="P4" s="4"/>
      <c r="Q4" s="19"/>
      <c r="R4" s="19"/>
      <c r="T4" s="6"/>
      <c r="U4" s="18">
        <f t="shared" si="3"/>
        <v>0</v>
      </c>
      <c r="V4" s="5">
        <f t="shared" si="4"/>
        <v>0</v>
      </c>
    </row>
    <row r="5" spans="1:28" x14ac:dyDescent="0.25">
      <c r="A5">
        <v>3</v>
      </c>
      <c r="B5" s="17">
        <v>46049</v>
      </c>
      <c r="C5" s="26">
        <f>_xlfn.ISOWEEKNUM(tbl_TD[[#This Row],[Data]])</f>
        <v>5</v>
      </c>
      <c r="D5">
        <f t="shared" si="0"/>
        <v>1</v>
      </c>
      <c r="E5">
        <f t="shared" si="1"/>
        <v>2026</v>
      </c>
      <c r="F5" s="4" t="s">
        <v>143</v>
      </c>
      <c r="G5" s="4" t="s">
        <v>141</v>
      </c>
      <c r="H5" s="4" t="s">
        <v>121</v>
      </c>
      <c r="I5" s="4" t="s">
        <v>140</v>
      </c>
      <c r="K5" s="5">
        <v>8</v>
      </c>
      <c r="L5" s="5">
        <v>8</v>
      </c>
      <c r="M5" s="5"/>
      <c r="N5" s="18">
        <f t="shared" si="2"/>
        <v>1</v>
      </c>
      <c r="O5" s="19"/>
      <c r="P5" s="4"/>
      <c r="Q5" s="19"/>
      <c r="R5" s="19"/>
      <c r="T5" s="6"/>
      <c r="U5" s="18">
        <f t="shared" si="3"/>
        <v>0</v>
      </c>
      <c r="V5" s="5">
        <f t="shared" si="4"/>
        <v>0</v>
      </c>
    </row>
    <row r="6" spans="1:28" x14ac:dyDescent="0.25">
      <c r="A6">
        <v>4</v>
      </c>
      <c r="B6" s="17">
        <v>46045</v>
      </c>
      <c r="C6" s="26">
        <f>_xlfn.ISOWEEKNUM(tbl_TD[[#This Row],[Data]])</f>
        <v>4</v>
      </c>
      <c r="D6">
        <f t="shared" si="0"/>
        <v>1</v>
      </c>
      <c r="E6">
        <f t="shared" si="1"/>
        <v>2026</v>
      </c>
      <c r="F6" s="4" t="s">
        <v>113</v>
      </c>
      <c r="G6" s="4" t="s">
        <v>141</v>
      </c>
      <c r="H6" s="4" t="s">
        <v>124</v>
      </c>
      <c r="I6" s="4" t="s">
        <v>139</v>
      </c>
      <c r="K6" s="5">
        <v>11</v>
      </c>
      <c r="L6" s="5">
        <v>11</v>
      </c>
      <c r="M6" s="5"/>
      <c r="N6" s="18">
        <f t="shared" si="2"/>
        <v>1</v>
      </c>
      <c r="O6" s="19"/>
      <c r="P6" s="4"/>
      <c r="Q6" s="19"/>
      <c r="R6" s="19"/>
      <c r="T6" s="6"/>
      <c r="U6" s="18">
        <f t="shared" si="3"/>
        <v>0</v>
      </c>
      <c r="V6" s="5">
        <f t="shared" si="4"/>
        <v>0</v>
      </c>
    </row>
    <row r="7" spans="1:28" x14ac:dyDescent="0.25">
      <c r="A7">
        <v>5</v>
      </c>
      <c r="B7" s="17">
        <v>46055</v>
      </c>
      <c r="C7" s="26">
        <f>_xlfn.ISOWEEKNUM(tbl_TD[[#This Row],[Data]])</f>
        <v>6</v>
      </c>
      <c r="D7">
        <f t="shared" si="0"/>
        <v>2</v>
      </c>
      <c r="E7">
        <f t="shared" si="1"/>
        <v>2026</v>
      </c>
      <c r="F7" s="4" t="s">
        <v>52</v>
      </c>
      <c r="G7" s="4" t="s">
        <v>141</v>
      </c>
      <c r="H7" s="4" t="s">
        <v>125</v>
      </c>
      <c r="I7" s="4" t="s">
        <v>139</v>
      </c>
      <c r="K7" s="5">
        <v>21</v>
      </c>
      <c r="L7" s="5">
        <v>21</v>
      </c>
      <c r="M7" s="5"/>
      <c r="N7" s="18">
        <f t="shared" si="2"/>
        <v>1</v>
      </c>
      <c r="O7" s="19"/>
      <c r="P7" s="4"/>
      <c r="Q7" s="19"/>
      <c r="R7" s="19"/>
      <c r="T7" s="6"/>
      <c r="U7" s="18">
        <f t="shared" si="3"/>
        <v>0</v>
      </c>
      <c r="V7" s="5">
        <f t="shared" si="4"/>
        <v>0</v>
      </c>
    </row>
    <row r="8" spans="1:28" x14ac:dyDescent="0.25">
      <c r="A8">
        <v>6</v>
      </c>
      <c r="B8" s="17">
        <v>46077</v>
      </c>
      <c r="C8" s="26">
        <f>_xlfn.ISOWEEKNUM(tbl_TD[[#This Row],[Data]])</f>
        <v>9</v>
      </c>
      <c r="D8">
        <f t="shared" si="0"/>
        <v>2</v>
      </c>
      <c r="E8">
        <f t="shared" si="1"/>
        <v>2026</v>
      </c>
      <c r="F8" s="4" t="s">
        <v>39</v>
      </c>
      <c r="G8" s="4" t="s">
        <v>141</v>
      </c>
      <c r="H8" s="4" t="s">
        <v>120</v>
      </c>
      <c r="I8" s="4" t="s">
        <v>140</v>
      </c>
      <c r="J8" s="28"/>
      <c r="K8" s="5">
        <v>6</v>
      </c>
      <c r="L8" s="5">
        <v>6</v>
      </c>
      <c r="M8" s="5"/>
      <c r="N8" s="18">
        <f t="shared" si="2"/>
        <v>1</v>
      </c>
      <c r="O8" s="19"/>
      <c r="P8" s="4"/>
      <c r="Q8" s="19"/>
      <c r="R8" s="19"/>
      <c r="T8" s="6"/>
      <c r="U8" s="18">
        <f t="shared" si="3"/>
        <v>0</v>
      </c>
      <c r="V8" s="5">
        <f t="shared" si="4"/>
        <v>0</v>
      </c>
    </row>
    <row r="9" spans="1:28" x14ac:dyDescent="0.25">
      <c r="A9">
        <v>7</v>
      </c>
      <c r="B9" s="17">
        <v>46077</v>
      </c>
      <c r="C9" s="26">
        <f>_xlfn.ISOWEEKNUM(tbl_TD[[#This Row],[Data]])</f>
        <v>9</v>
      </c>
      <c r="D9">
        <f t="shared" si="0"/>
        <v>2</v>
      </c>
      <c r="E9">
        <f t="shared" si="1"/>
        <v>2026</v>
      </c>
      <c r="F9" s="4" t="s">
        <v>39</v>
      </c>
      <c r="G9" s="4" t="s">
        <v>141</v>
      </c>
      <c r="H9" s="4" t="s">
        <v>115</v>
      </c>
      <c r="I9" s="4" t="s">
        <v>140</v>
      </c>
      <c r="K9" s="5">
        <v>17</v>
      </c>
      <c r="L9" s="5">
        <v>17</v>
      </c>
      <c r="M9" s="5"/>
      <c r="N9" s="18">
        <f t="shared" si="2"/>
        <v>1</v>
      </c>
      <c r="O9" s="19"/>
      <c r="P9" s="4"/>
      <c r="Q9" s="19"/>
      <c r="R9" s="19"/>
      <c r="T9" s="6"/>
      <c r="U9" s="18">
        <f t="shared" si="3"/>
        <v>0</v>
      </c>
      <c r="V9" s="5">
        <f t="shared" si="4"/>
        <v>0</v>
      </c>
    </row>
    <row r="10" spans="1:28" x14ac:dyDescent="0.25">
      <c r="A10">
        <v>8</v>
      </c>
      <c r="B10" s="17">
        <v>46071</v>
      </c>
      <c r="C10" s="26">
        <f>_xlfn.ISOWEEKNUM(tbl_TD[[#This Row],[Data]])</f>
        <v>8</v>
      </c>
      <c r="D10">
        <f t="shared" si="0"/>
        <v>2</v>
      </c>
      <c r="E10">
        <f t="shared" si="1"/>
        <v>2026</v>
      </c>
      <c r="F10" s="4" t="s">
        <v>111</v>
      </c>
      <c r="G10" s="4" t="s">
        <v>141</v>
      </c>
      <c r="H10" s="4" t="s">
        <v>117</v>
      </c>
      <c r="I10" s="4" t="s">
        <v>140</v>
      </c>
      <c r="K10" s="5">
        <v>9</v>
      </c>
      <c r="L10" s="5">
        <v>9</v>
      </c>
      <c r="M10" s="5"/>
      <c r="N10" s="18">
        <f t="shared" si="2"/>
        <v>1</v>
      </c>
      <c r="O10" s="19"/>
      <c r="P10" s="4"/>
      <c r="Q10" s="19"/>
      <c r="R10" s="19"/>
      <c r="T10" s="6"/>
      <c r="U10" s="18">
        <f t="shared" si="3"/>
        <v>0</v>
      </c>
      <c r="V10" s="5">
        <f t="shared" si="4"/>
        <v>0</v>
      </c>
    </row>
    <row r="11" spans="1:28" x14ac:dyDescent="0.25">
      <c r="A11">
        <v>9</v>
      </c>
      <c r="B11" s="17">
        <v>46059</v>
      </c>
      <c r="C11" s="26">
        <f>_xlfn.ISOWEEKNUM(tbl_TD[[#This Row],[Data]])</f>
        <v>6</v>
      </c>
      <c r="D11">
        <f t="shared" si="0"/>
        <v>2</v>
      </c>
      <c r="E11">
        <f t="shared" si="1"/>
        <v>2026</v>
      </c>
      <c r="F11" s="4" t="s">
        <v>36</v>
      </c>
      <c r="G11" s="4" t="s">
        <v>43</v>
      </c>
      <c r="H11" s="4" t="s">
        <v>122</v>
      </c>
      <c r="I11" s="4" t="s">
        <v>140</v>
      </c>
      <c r="J11" s="29" t="s">
        <v>145</v>
      </c>
      <c r="K11" s="5">
        <v>29</v>
      </c>
      <c r="L11" s="5">
        <v>29</v>
      </c>
      <c r="M11" s="5"/>
      <c r="N11" s="18">
        <f t="shared" si="2"/>
        <v>1</v>
      </c>
      <c r="O11" s="19"/>
      <c r="P11" s="4"/>
      <c r="Q11" s="19"/>
      <c r="R11" s="19"/>
      <c r="T11" s="6"/>
      <c r="U11" s="18">
        <f t="shared" si="3"/>
        <v>0</v>
      </c>
      <c r="V11" s="5">
        <f t="shared" si="4"/>
        <v>0</v>
      </c>
    </row>
    <row r="12" spans="1:28" x14ac:dyDescent="0.25">
      <c r="A12">
        <v>10</v>
      </c>
      <c r="B12" s="17">
        <v>46071</v>
      </c>
      <c r="C12" s="26">
        <f>_xlfn.ISOWEEKNUM(tbl_TD[[#This Row],[Data]])</f>
        <v>8</v>
      </c>
      <c r="D12">
        <f t="shared" si="0"/>
        <v>2</v>
      </c>
      <c r="E12">
        <f t="shared" si="1"/>
        <v>2026</v>
      </c>
      <c r="F12" s="4" t="s">
        <v>36</v>
      </c>
      <c r="G12" s="4" t="s">
        <v>45</v>
      </c>
      <c r="H12" s="4" t="s">
        <v>116</v>
      </c>
      <c r="I12" s="4" t="s">
        <v>140</v>
      </c>
      <c r="J12" s="29" t="s">
        <v>144</v>
      </c>
      <c r="K12" s="5">
        <v>179</v>
      </c>
      <c r="L12" s="5">
        <v>145</v>
      </c>
      <c r="M12" s="5">
        <v>34</v>
      </c>
      <c r="N12" s="18">
        <f t="shared" si="2"/>
        <v>0.81005586592178769</v>
      </c>
      <c r="O12" s="19"/>
      <c r="P12" s="4"/>
      <c r="Q12" s="19"/>
      <c r="R12" s="19"/>
      <c r="T12" s="6"/>
      <c r="U12" s="18">
        <f t="shared" si="3"/>
        <v>0</v>
      </c>
      <c r="V12" s="5">
        <f t="shared" si="4"/>
        <v>0</v>
      </c>
    </row>
    <row r="13" spans="1:28" x14ac:dyDescent="0.25">
      <c r="A13">
        <v>11</v>
      </c>
      <c r="B13" s="17">
        <v>46094</v>
      </c>
      <c r="C13" s="26">
        <f>_xlfn.ISOWEEKNUM(tbl_TD[[#This Row],[Data]])</f>
        <v>11</v>
      </c>
      <c r="D13">
        <f t="shared" si="0"/>
        <v>3</v>
      </c>
      <c r="E13">
        <f t="shared" si="1"/>
        <v>2026</v>
      </c>
      <c r="F13" s="4" t="s">
        <v>36</v>
      </c>
      <c r="G13" s="4" t="s">
        <v>45</v>
      </c>
      <c r="H13" s="4" t="s">
        <v>121</v>
      </c>
      <c r="I13" s="4" t="s">
        <v>140</v>
      </c>
      <c r="J13" s="29" t="s">
        <v>146</v>
      </c>
      <c r="K13" s="5">
        <v>10</v>
      </c>
      <c r="L13" s="5">
        <v>10</v>
      </c>
      <c r="M13" s="5"/>
      <c r="N13" s="18">
        <f t="shared" si="2"/>
        <v>1</v>
      </c>
      <c r="O13" s="19"/>
      <c r="P13" s="4"/>
      <c r="Q13" s="19"/>
      <c r="R13" s="19"/>
      <c r="T13" s="6"/>
      <c r="U13" s="18">
        <f t="shared" si="3"/>
        <v>0</v>
      </c>
      <c r="V13" s="5">
        <f t="shared" si="4"/>
        <v>0</v>
      </c>
    </row>
    <row r="14" spans="1:28" x14ac:dyDescent="0.25">
      <c r="A14">
        <v>12</v>
      </c>
      <c r="B14" s="17">
        <v>46064</v>
      </c>
      <c r="C14" s="26">
        <f>_xlfn.ISOWEEKNUM(tbl_TD[[#This Row],[Data]])</f>
        <v>7</v>
      </c>
      <c r="D14">
        <f t="shared" si="0"/>
        <v>2</v>
      </c>
      <c r="E14">
        <f t="shared" si="1"/>
        <v>2026</v>
      </c>
      <c r="F14" s="4" t="s">
        <v>52</v>
      </c>
      <c r="G14" s="4" t="s">
        <v>141</v>
      </c>
      <c r="H14" s="4" t="s">
        <v>118</v>
      </c>
      <c r="I14" s="4" t="s">
        <v>139</v>
      </c>
      <c r="K14" s="5">
        <v>32</v>
      </c>
      <c r="L14" s="5">
        <v>29</v>
      </c>
      <c r="M14" s="5">
        <v>3</v>
      </c>
      <c r="N14" s="18">
        <f t="shared" si="2"/>
        <v>0.90625</v>
      </c>
      <c r="O14" s="19"/>
      <c r="P14" s="4"/>
      <c r="Q14" s="19"/>
      <c r="R14" s="19"/>
      <c r="T14" s="6"/>
      <c r="U14" s="18">
        <f t="shared" si="3"/>
        <v>0</v>
      </c>
      <c r="V14" s="5">
        <f t="shared" si="4"/>
        <v>0</v>
      </c>
    </row>
    <row r="15" spans="1:28" x14ac:dyDescent="0.25">
      <c r="A15">
        <v>13</v>
      </c>
      <c r="B15" s="17">
        <v>46055</v>
      </c>
      <c r="C15" s="26">
        <f>_xlfn.ISOWEEKNUM(tbl_TD[[#This Row],[Data]])</f>
        <v>6</v>
      </c>
      <c r="D15">
        <f t="shared" si="0"/>
        <v>2</v>
      </c>
      <c r="E15">
        <f t="shared" si="1"/>
        <v>2026</v>
      </c>
      <c r="F15" s="4" t="s">
        <v>110</v>
      </c>
      <c r="G15" s="4" t="s">
        <v>45</v>
      </c>
      <c r="H15" s="4" t="s">
        <v>124</v>
      </c>
      <c r="I15" s="4" t="s">
        <v>139</v>
      </c>
      <c r="J15" s="28"/>
      <c r="K15" s="5">
        <v>3</v>
      </c>
      <c r="L15" s="5">
        <v>3</v>
      </c>
      <c r="M15" s="5"/>
      <c r="N15" s="18">
        <f t="shared" si="2"/>
        <v>1</v>
      </c>
      <c r="O15" s="19"/>
      <c r="P15" s="4"/>
      <c r="Q15" s="19"/>
      <c r="R15" s="19"/>
      <c r="T15" s="6"/>
      <c r="U15" s="18">
        <f t="shared" si="3"/>
        <v>0</v>
      </c>
      <c r="V15" s="5">
        <f t="shared" si="4"/>
        <v>0</v>
      </c>
    </row>
    <row r="16" spans="1:28" x14ac:dyDescent="0.25">
      <c r="A16" s="28">
        <v>14</v>
      </c>
      <c r="B16" s="17">
        <v>46062</v>
      </c>
      <c r="C16" s="26">
        <f>_xlfn.ISOWEEKNUM(tbl_TD[[#This Row],[Data]])</f>
        <v>7</v>
      </c>
      <c r="D16" s="28">
        <f t="shared" si="0"/>
        <v>2</v>
      </c>
      <c r="E16" s="28">
        <f t="shared" si="1"/>
        <v>2026</v>
      </c>
      <c r="F16" s="4" t="s">
        <v>110</v>
      </c>
      <c r="G16" s="4" t="s">
        <v>141</v>
      </c>
      <c r="H16" s="4" t="s">
        <v>124</v>
      </c>
      <c r="I16" s="4" t="s">
        <v>139</v>
      </c>
      <c r="J16" s="28"/>
      <c r="K16" s="5">
        <v>31</v>
      </c>
      <c r="L16" s="5">
        <v>31</v>
      </c>
      <c r="M16" s="5"/>
      <c r="N16" s="18">
        <f t="shared" si="2"/>
        <v>1</v>
      </c>
      <c r="O16" s="19"/>
      <c r="P16" s="4"/>
      <c r="Q16" s="19"/>
      <c r="R16" s="19"/>
      <c r="S16" s="28"/>
      <c r="T16" s="6"/>
      <c r="U16" s="18">
        <f t="shared" si="3"/>
        <v>0</v>
      </c>
      <c r="V16" s="5">
        <f t="shared" si="4"/>
        <v>0</v>
      </c>
    </row>
    <row r="17" spans="1:22" x14ac:dyDescent="0.25">
      <c r="A17" s="43">
        <v>15</v>
      </c>
      <c r="B17" s="44">
        <v>46032</v>
      </c>
      <c r="C17" s="26">
        <f>_xlfn.ISOWEEKNUM(tbl_TD[[#This Row],[Data]])</f>
        <v>2</v>
      </c>
      <c r="D17" s="43">
        <f t="shared" si="0"/>
        <v>1</v>
      </c>
      <c r="E17" s="43">
        <f t="shared" si="1"/>
        <v>2026</v>
      </c>
      <c r="F17" s="42" t="s">
        <v>52</v>
      </c>
      <c r="G17" s="42" t="s">
        <v>45</v>
      </c>
      <c r="H17" s="42" t="s">
        <v>125</v>
      </c>
      <c r="I17" s="42" t="s">
        <v>139</v>
      </c>
      <c r="J17" s="26" t="s">
        <v>147</v>
      </c>
      <c r="K17" s="5">
        <v>271</v>
      </c>
      <c r="L17" s="5">
        <v>271</v>
      </c>
      <c r="M17" s="5"/>
      <c r="N17" s="18">
        <f t="shared" si="2"/>
        <v>1</v>
      </c>
      <c r="O17" s="19"/>
      <c r="P17" s="4"/>
      <c r="Q17" s="19"/>
      <c r="R17" s="19"/>
      <c r="T17" s="6"/>
      <c r="U17" s="18">
        <f t="shared" si="3"/>
        <v>0</v>
      </c>
      <c r="V17" s="5">
        <f t="shared" si="4"/>
        <v>0</v>
      </c>
    </row>
    <row r="18" spans="1:22" x14ac:dyDescent="0.25">
      <c r="A18">
        <v>16</v>
      </c>
      <c r="B18" s="17">
        <v>46062</v>
      </c>
      <c r="C18" s="26">
        <f>_xlfn.ISOWEEKNUM(tbl_TD[[#This Row],[Data]])</f>
        <v>7</v>
      </c>
      <c r="D18">
        <f t="shared" si="0"/>
        <v>2</v>
      </c>
      <c r="E18">
        <f t="shared" si="1"/>
        <v>2026</v>
      </c>
      <c r="F18" s="4" t="s">
        <v>52</v>
      </c>
      <c r="G18" s="4" t="s">
        <v>45</v>
      </c>
      <c r="H18" s="4" t="s">
        <v>123</v>
      </c>
      <c r="I18" s="4" t="s">
        <v>139</v>
      </c>
      <c r="J18" s="26" t="s">
        <v>148</v>
      </c>
      <c r="K18" s="5">
        <v>223</v>
      </c>
      <c r="L18" s="5">
        <v>223</v>
      </c>
      <c r="M18" s="5"/>
      <c r="N18" s="18">
        <f t="shared" si="2"/>
        <v>1</v>
      </c>
      <c r="O18" s="19"/>
      <c r="P18" s="4"/>
      <c r="Q18" s="19"/>
      <c r="R18" s="19"/>
      <c r="T18" s="6"/>
      <c r="U18" s="18">
        <f t="shared" si="3"/>
        <v>0</v>
      </c>
      <c r="V18" s="5">
        <f t="shared" si="4"/>
        <v>0</v>
      </c>
    </row>
    <row r="19" spans="1:22" x14ac:dyDescent="0.25">
      <c r="A19">
        <v>17</v>
      </c>
      <c r="B19" s="17"/>
      <c r="C19" s="26">
        <f>_xlfn.ISOWEEKNUM(tbl_TD[[#This Row],[Data]])</f>
        <v>52</v>
      </c>
      <c r="D19">
        <f t="shared" si="0"/>
        <v>1</v>
      </c>
      <c r="E19">
        <f t="shared" si="1"/>
        <v>1900</v>
      </c>
      <c r="F19" s="4"/>
      <c r="G19" s="4"/>
      <c r="H19" s="4"/>
      <c r="I19" s="4"/>
      <c r="K19" s="5"/>
      <c r="L19" s="5"/>
      <c r="M19" s="5"/>
      <c r="N19" s="18">
        <f t="shared" si="2"/>
        <v>0</v>
      </c>
      <c r="O19" s="19"/>
      <c r="P19" s="4"/>
      <c r="Q19" s="19"/>
      <c r="R19" s="19"/>
      <c r="T19" s="6"/>
      <c r="U19" s="18">
        <f t="shared" si="3"/>
        <v>0</v>
      </c>
      <c r="V19" s="5">
        <f t="shared" si="4"/>
        <v>0</v>
      </c>
    </row>
    <row r="20" spans="1:22" x14ac:dyDescent="0.25">
      <c r="A20">
        <v>18</v>
      </c>
      <c r="B20" s="17"/>
      <c r="C20" s="26">
        <f>_xlfn.ISOWEEKNUM(tbl_TD[[#This Row],[Data]])</f>
        <v>52</v>
      </c>
      <c r="D20">
        <f t="shared" si="0"/>
        <v>1</v>
      </c>
      <c r="E20">
        <f t="shared" si="1"/>
        <v>1900</v>
      </c>
      <c r="F20" s="4"/>
      <c r="G20" s="4"/>
      <c r="H20" s="4"/>
      <c r="I20" s="4"/>
      <c r="K20" s="5"/>
      <c r="L20" s="5"/>
      <c r="M20" s="5"/>
      <c r="N20" s="18">
        <f t="shared" si="2"/>
        <v>0</v>
      </c>
      <c r="O20" s="19"/>
      <c r="P20" s="4"/>
      <c r="Q20" s="19"/>
      <c r="R20" s="19"/>
      <c r="T20" s="6"/>
      <c r="U20" s="18">
        <f t="shared" si="3"/>
        <v>0</v>
      </c>
      <c r="V20" s="5">
        <f t="shared" si="4"/>
        <v>0</v>
      </c>
    </row>
    <row r="21" spans="1:22" x14ac:dyDescent="0.25">
      <c r="A21">
        <v>19</v>
      </c>
      <c r="B21" s="17"/>
      <c r="C21" s="26">
        <f>_xlfn.ISOWEEKNUM(tbl_TD[[#This Row],[Data]])</f>
        <v>52</v>
      </c>
      <c r="D21">
        <f t="shared" si="0"/>
        <v>1</v>
      </c>
      <c r="E21">
        <f t="shared" si="1"/>
        <v>1900</v>
      </c>
      <c r="F21" s="4"/>
      <c r="G21" s="4"/>
      <c r="H21" s="4"/>
      <c r="I21" s="4"/>
      <c r="K21" s="5"/>
      <c r="L21" s="5"/>
      <c r="M21" s="5"/>
      <c r="N21" s="18">
        <f t="shared" si="2"/>
        <v>0</v>
      </c>
      <c r="O21" s="19"/>
      <c r="P21" s="4"/>
      <c r="Q21" s="19"/>
      <c r="R21" s="19"/>
      <c r="T21" s="6"/>
      <c r="U21" s="18">
        <f t="shared" si="3"/>
        <v>0</v>
      </c>
      <c r="V21" s="5">
        <f t="shared" si="4"/>
        <v>0</v>
      </c>
    </row>
    <row r="22" spans="1:22" x14ac:dyDescent="0.25">
      <c r="A22">
        <v>20</v>
      </c>
      <c r="B22" s="17"/>
      <c r="C22" s="26">
        <f>_xlfn.ISOWEEKNUM(tbl_TD[[#This Row],[Data]])</f>
        <v>52</v>
      </c>
      <c r="D22">
        <f t="shared" si="0"/>
        <v>1</v>
      </c>
      <c r="E22">
        <f t="shared" si="1"/>
        <v>1900</v>
      </c>
      <c r="F22" s="4"/>
      <c r="G22" s="4"/>
      <c r="H22" s="4"/>
      <c r="I22" s="4"/>
      <c r="K22" s="5"/>
      <c r="L22" s="5"/>
      <c r="M22" s="5"/>
      <c r="N22" s="18">
        <f t="shared" si="2"/>
        <v>0</v>
      </c>
      <c r="O22" s="19"/>
      <c r="P22" s="4"/>
      <c r="Q22" s="19"/>
      <c r="R22" s="19"/>
      <c r="T22" s="6"/>
      <c r="U22" s="18">
        <f t="shared" si="3"/>
        <v>0</v>
      </c>
      <c r="V22" s="5">
        <f t="shared" si="4"/>
        <v>0</v>
      </c>
    </row>
    <row r="23" spans="1:22" x14ac:dyDescent="0.25">
      <c r="A23">
        <v>21</v>
      </c>
      <c r="B23" s="17"/>
      <c r="C23" s="26">
        <f>_xlfn.ISOWEEKNUM(tbl_TD[[#This Row],[Data]])</f>
        <v>52</v>
      </c>
      <c r="D23">
        <f t="shared" si="0"/>
        <v>1</v>
      </c>
      <c r="E23">
        <f t="shared" si="1"/>
        <v>1900</v>
      </c>
      <c r="F23" s="4"/>
      <c r="G23" s="4"/>
      <c r="H23" s="4"/>
      <c r="I23" s="4"/>
      <c r="K23" s="5"/>
      <c r="L23" s="5"/>
      <c r="M23" s="5"/>
      <c r="N23" s="18">
        <f t="shared" si="2"/>
        <v>0</v>
      </c>
      <c r="O23" s="19"/>
      <c r="P23" s="4"/>
      <c r="Q23" s="19"/>
      <c r="R23" s="19"/>
      <c r="T23" s="6"/>
      <c r="U23" s="18">
        <f t="shared" si="3"/>
        <v>0</v>
      </c>
      <c r="V23" s="5">
        <f t="shared" si="4"/>
        <v>0</v>
      </c>
    </row>
    <row r="24" spans="1:22" x14ac:dyDescent="0.25">
      <c r="A24">
        <v>22</v>
      </c>
      <c r="B24" s="17"/>
      <c r="C24" s="26">
        <f>_xlfn.ISOWEEKNUM(tbl_TD[[#This Row],[Data]])</f>
        <v>52</v>
      </c>
      <c r="D24">
        <f t="shared" si="0"/>
        <v>1</v>
      </c>
      <c r="E24">
        <f t="shared" si="1"/>
        <v>1900</v>
      </c>
      <c r="F24" s="4"/>
      <c r="G24" s="4"/>
      <c r="H24" s="4"/>
      <c r="I24" s="4"/>
      <c r="K24" s="5"/>
      <c r="L24" s="5"/>
      <c r="M24" s="5"/>
      <c r="N24" s="18">
        <f t="shared" si="2"/>
        <v>0</v>
      </c>
      <c r="O24" s="19"/>
      <c r="P24" s="4"/>
      <c r="Q24" s="19"/>
      <c r="R24" s="19"/>
      <c r="T24" s="6"/>
      <c r="U24" s="18">
        <f t="shared" si="3"/>
        <v>0</v>
      </c>
      <c r="V24" s="5">
        <f t="shared" si="4"/>
        <v>0</v>
      </c>
    </row>
    <row r="25" spans="1:22" x14ac:dyDescent="0.25">
      <c r="A25">
        <v>23</v>
      </c>
      <c r="B25" s="17"/>
      <c r="C25" s="26">
        <f>_xlfn.ISOWEEKNUM(tbl_TD[[#This Row],[Data]])</f>
        <v>52</v>
      </c>
      <c r="D25">
        <f t="shared" si="0"/>
        <v>1</v>
      </c>
      <c r="E25">
        <f t="shared" si="1"/>
        <v>1900</v>
      </c>
      <c r="F25" s="4"/>
      <c r="G25" s="4"/>
      <c r="H25" s="4"/>
      <c r="I25" s="4"/>
      <c r="K25" s="5"/>
      <c r="L25" s="5"/>
      <c r="M25" s="5"/>
      <c r="N25" s="18">
        <f t="shared" si="2"/>
        <v>0</v>
      </c>
      <c r="O25" s="19"/>
      <c r="P25" s="4"/>
      <c r="Q25" s="19"/>
      <c r="R25" s="19"/>
      <c r="T25" s="6"/>
      <c r="U25" s="18">
        <f t="shared" si="3"/>
        <v>0</v>
      </c>
      <c r="V25" s="5">
        <f t="shared" si="4"/>
        <v>0</v>
      </c>
    </row>
    <row r="26" spans="1:22" x14ac:dyDescent="0.25">
      <c r="A26">
        <v>24</v>
      </c>
      <c r="B26" s="17"/>
      <c r="C26" s="26">
        <f>_xlfn.ISOWEEKNUM(tbl_TD[[#This Row],[Data]])</f>
        <v>52</v>
      </c>
      <c r="D26">
        <f t="shared" si="0"/>
        <v>1</v>
      </c>
      <c r="E26">
        <f t="shared" si="1"/>
        <v>1900</v>
      </c>
      <c r="F26" s="4"/>
      <c r="G26" s="4"/>
      <c r="H26" s="4"/>
      <c r="I26" s="4"/>
      <c r="K26" s="5"/>
      <c r="L26" s="5"/>
      <c r="M26" s="5"/>
      <c r="N26" s="18">
        <f t="shared" si="2"/>
        <v>0</v>
      </c>
      <c r="O26" s="19"/>
      <c r="P26" s="4"/>
      <c r="Q26" s="19"/>
      <c r="R26" s="19"/>
      <c r="T26" s="6"/>
      <c r="U26" s="18">
        <f t="shared" si="3"/>
        <v>0</v>
      </c>
      <c r="V26" s="5">
        <f t="shared" si="4"/>
        <v>0</v>
      </c>
    </row>
    <row r="27" spans="1:22" x14ac:dyDescent="0.25">
      <c r="A27">
        <v>25</v>
      </c>
      <c r="B27" s="17"/>
      <c r="C27" s="26">
        <f>_xlfn.ISOWEEKNUM(tbl_TD[[#This Row],[Data]])</f>
        <v>52</v>
      </c>
      <c r="D27">
        <f t="shared" si="0"/>
        <v>1</v>
      </c>
      <c r="E27">
        <f t="shared" si="1"/>
        <v>1900</v>
      </c>
      <c r="F27" s="4"/>
      <c r="G27" s="4"/>
      <c r="H27" s="4"/>
      <c r="I27" s="4"/>
      <c r="K27" s="5"/>
      <c r="L27" s="5"/>
      <c r="M27" s="5"/>
      <c r="N27" s="18">
        <f t="shared" si="2"/>
        <v>0</v>
      </c>
      <c r="O27" s="19"/>
      <c r="P27" s="4"/>
      <c r="Q27" s="19"/>
      <c r="R27" s="19"/>
      <c r="T27" s="6"/>
      <c r="U27" s="18">
        <f t="shared" si="3"/>
        <v>0</v>
      </c>
      <c r="V27" s="5">
        <f t="shared" si="4"/>
        <v>0</v>
      </c>
    </row>
    <row r="28" spans="1:22" x14ac:dyDescent="0.25">
      <c r="A28">
        <v>26</v>
      </c>
      <c r="B28" s="17"/>
      <c r="C28" s="26">
        <f>_xlfn.ISOWEEKNUM(tbl_TD[[#This Row],[Data]])</f>
        <v>52</v>
      </c>
      <c r="D28">
        <f t="shared" si="0"/>
        <v>1</v>
      </c>
      <c r="E28">
        <f t="shared" si="1"/>
        <v>1900</v>
      </c>
      <c r="F28" s="4"/>
      <c r="G28" s="4"/>
      <c r="H28" s="4"/>
      <c r="I28" s="4"/>
      <c r="K28" s="5"/>
      <c r="L28" s="5"/>
      <c r="M28" s="5"/>
      <c r="N28" s="18">
        <f t="shared" si="2"/>
        <v>0</v>
      </c>
      <c r="O28" s="19"/>
      <c r="P28" s="4"/>
      <c r="Q28" s="19"/>
      <c r="R28" s="19"/>
      <c r="T28" s="6"/>
      <c r="U28" s="18">
        <f t="shared" si="3"/>
        <v>0</v>
      </c>
      <c r="V28" s="5">
        <f t="shared" si="4"/>
        <v>0</v>
      </c>
    </row>
    <row r="29" spans="1:22" x14ac:dyDescent="0.25">
      <c r="A29">
        <v>27</v>
      </c>
      <c r="B29" s="17"/>
      <c r="C29" s="26">
        <f>_xlfn.ISOWEEKNUM(tbl_TD[[#This Row],[Data]])</f>
        <v>52</v>
      </c>
      <c r="D29">
        <f t="shared" si="0"/>
        <v>1</v>
      </c>
      <c r="E29">
        <f t="shared" si="1"/>
        <v>1900</v>
      </c>
      <c r="F29" s="4"/>
      <c r="G29" s="4"/>
      <c r="H29" s="4"/>
      <c r="I29" s="4"/>
      <c r="K29" s="5"/>
      <c r="L29" s="5"/>
      <c r="M29" s="5"/>
      <c r="N29" s="18">
        <f t="shared" si="2"/>
        <v>0</v>
      </c>
      <c r="O29" s="19"/>
      <c r="P29" s="4"/>
      <c r="Q29" s="19"/>
      <c r="R29" s="19"/>
      <c r="T29" s="6"/>
      <c r="U29" s="18">
        <f t="shared" si="3"/>
        <v>0</v>
      </c>
      <c r="V29" s="5">
        <f t="shared" si="4"/>
        <v>0</v>
      </c>
    </row>
    <row r="30" spans="1:22" x14ac:dyDescent="0.25">
      <c r="A30">
        <v>28</v>
      </c>
      <c r="B30" s="17"/>
      <c r="C30" s="26">
        <f>_xlfn.ISOWEEKNUM(tbl_TD[[#This Row],[Data]])</f>
        <v>52</v>
      </c>
      <c r="D30">
        <f t="shared" si="0"/>
        <v>1</v>
      </c>
      <c r="E30">
        <f t="shared" si="1"/>
        <v>1900</v>
      </c>
      <c r="F30" s="4"/>
      <c r="G30" s="4"/>
      <c r="H30" s="4"/>
      <c r="I30" s="4"/>
      <c r="K30" s="5"/>
      <c r="L30" s="5"/>
      <c r="M30" s="5"/>
      <c r="N30" s="18">
        <f t="shared" si="2"/>
        <v>0</v>
      </c>
      <c r="O30" s="19"/>
      <c r="P30" s="4"/>
      <c r="Q30" s="19"/>
      <c r="R30" s="19"/>
      <c r="T30" s="6"/>
      <c r="U30" s="18">
        <f t="shared" si="3"/>
        <v>0</v>
      </c>
      <c r="V30" s="5">
        <f t="shared" si="4"/>
        <v>0</v>
      </c>
    </row>
    <row r="31" spans="1:22" x14ac:dyDescent="0.25">
      <c r="A31">
        <v>29</v>
      </c>
      <c r="B31" s="17"/>
      <c r="C31" s="26">
        <f>_xlfn.ISOWEEKNUM(tbl_TD[[#This Row],[Data]])</f>
        <v>52</v>
      </c>
      <c r="D31">
        <f t="shared" si="0"/>
        <v>1</v>
      </c>
      <c r="E31">
        <f t="shared" si="1"/>
        <v>1900</v>
      </c>
      <c r="F31" s="4"/>
      <c r="G31" s="4"/>
      <c r="H31" s="4"/>
      <c r="I31" s="4"/>
      <c r="K31" s="5"/>
      <c r="L31" s="5"/>
      <c r="M31" s="5"/>
      <c r="N31" s="18">
        <f t="shared" si="2"/>
        <v>0</v>
      </c>
      <c r="O31" s="19"/>
      <c r="P31" s="4"/>
      <c r="Q31" s="19"/>
      <c r="R31" s="19"/>
      <c r="T31" s="6"/>
      <c r="U31" s="18">
        <f t="shared" si="3"/>
        <v>0</v>
      </c>
      <c r="V31" s="5">
        <f t="shared" si="4"/>
        <v>0</v>
      </c>
    </row>
    <row r="32" spans="1:22" x14ac:dyDescent="0.25">
      <c r="A32">
        <v>30</v>
      </c>
      <c r="B32" s="17"/>
      <c r="C32" s="26">
        <f>_xlfn.ISOWEEKNUM(tbl_TD[[#This Row],[Data]])</f>
        <v>52</v>
      </c>
      <c r="D32">
        <f t="shared" si="0"/>
        <v>1</v>
      </c>
      <c r="E32">
        <f t="shared" si="1"/>
        <v>1900</v>
      </c>
      <c r="F32" s="4"/>
      <c r="G32" s="4"/>
      <c r="H32" s="4"/>
      <c r="I32" s="4"/>
      <c r="K32" s="5"/>
      <c r="L32" s="5"/>
      <c r="M32" s="5"/>
      <c r="N32" s="18">
        <f t="shared" si="2"/>
        <v>0</v>
      </c>
      <c r="O32" s="19"/>
      <c r="P32" s="4"/>
      <c r="Q32" s="19"/>
      <c r="R32" s="19"/>
      <c r="T32" s="6"/>
      <c r="U32" s="18">
        <f t="shared" si="3"/>
        <v>0</v>
      </c>
      <c r="V32" s="5">
        <f t="shared" si="4"/>
        <v>0</v>
      </c>
    </row>
    <row r="33" spans="1:22" x14ac:dyDescent="0.25">
      <c r="A33">
        <v>31</v>
      </c>
      <c r="B33" s="17"/>
      <c r="C33" s="26">
        <f>_xlfn.ISOWEEKNUM(tbl_TD[[#This Row],[Data]])</f>
        <v>52</v>
      </c>
      <c r="D33">
        <f t="shared" si="0"/>
        <v>1</v>
      </c>
      <c r="E33">
        <f t="shared" si="1"/>
        <v>1900</v>
      </c>
      <c r="F33" s="4"/>
      <c r="G33" s="4"/>
      <c r="H33" s="4"/>
      <c r="I33" s="4"/>
      <c r="K33" s="5"/>
      <c r="L33" s="5"/>
      <c r="M33" s="5"/>
      <c r="N33" s="18">
        <f t="shared" si="2"/>
        <v>0</v>
      </c>
      <c r="O33" s="19"/>
      <c r="P33" s="4"/>
      <c r="Q33" s="19"/>
      <c r="R33" s="19"/>
      <c r="T33" s="6"/>
      <c r="U33" s="18">
        <f t="shared" si="3"/>
        <v>0</v>
      </c>
      <c r="V33" s="5">
        <f t="shared" si="4"/>
        <v>0</v>
      </c>
    </row>
    <row r="34" spans="1:22" x14ac:dyDescent="0.25">
      <c r="A34">
        <v>32</v>
      </c>
      <c r="B34" s="17"/>
      <c r="C34" s="26">
        <f>_xlfn.ISOWEEKNUM(tbl_TD[[#This Row],[Data]])</f>
        <v>52</v>
      </c>
      <c r="D34">
        <f t="shared" si="0"/>
        <v>1</v>
      </c>
      <c r="E34">
        <f t="shared" si="1"/>
        <v>1900</v>
      </c>
      <c r="F34" s="4"/>
      <c r="G34" s="4"/>
      <c r="H34" s="4"/>
      <c r="I34" s="4"/>
      <c r="K34" s="5"/>
      <c r="L34" s="5"/>
      <c r="M34" s="5"/>
      <c r="N34" s="18">
        <f t="shared" si="2"/>
        <v>0</v>
      </c>
      <c r="O34" s="19"/>
      <c r="P34" s="4"/>
      <c r="Q34" s="19"/>
      <c r="R34" s="19"/>
      <c r="T34" s="6"/>
      <c r="U34" s="18">
        <f t="shared" si="3"/>
        <v>0</v>
      </c>
      <c r="V34" s="5">
        <f t="shared" si="4"/>
        <v>0</v>
      </c>
    </row>
    <row r="35" spans="1:22" x14ac:dyDescent="0.25">
      <c r="A35">
        <v>33</v>
      </c>
      <c r="B35" s="17"/>
      <c r="C35" s="26">
        <f>_xlfn.ISOWEEKNUM(tbl_TD[[#This Row],[Data]])</f>
        <v>52</v>
      </c>
      <c r="D35">
        <f t="shared" ref="D35:D62" si="5">MONTH(B35)</f>
        <v>1</v>
      </c>
      <c r="E35">
        <f t="shared" ref="E35:E62" si="6">YEAR(B35)</f>
        <v>1900</v>
      </c>
      <c r="F35" s="4"/>
      <c r="G35" s="4"/>
      <c r="H35" s="4"/>
      <c r="I35" s="4"/>
      <c r="K35" s="5"/>
      <c r="L35" s="5"/>
      <c r="M35" s="5"/>
      <c r="N35" s="18">
        <f t="shared" ref="N35:N62" si="7">IFERROR(L35/K35,0)</f>
        <v>0</v>
      </c>
      <c r="O35" s="19"/>
      <c r="P35" s="4"/>
      <c r="Q35" s="19"/>
      <c r="R35" s="19"/>
      <c r="T35" s="6"/>
      <c r="U35" s="18">
        <f t="shared" ref="U35:U62" si="8">IFERROR((R35-Q35)/Q35,0)</f>
        <v>0</v>
      </c>
      <c r="V35" s="5">
        <f t="shared" ref="V35:V62" si="9">IF(R35&gt;Q35,1,0)</f>
        <v>0</v>
      </c>
    </row>
    <row r="36" spans="1:22" x14ac:dyDescent="0.25">
      <c r="A36">
        <v>34</v>
      </c>
      <c r="B36" s="17"/>
      <c r="C36" s="26">
        <f>_xlfn.ISOWEEKNUM(tbl_TD[[#This Row],[Data]])</f>
        <v>52</v>
      </c>
      <c r="D36">
        <f t="shared" si="5"/>
        <v>1</v>
      </c>
      <c r="E36">
        <f t="shared" si="6"/>
        <v>1900</v>
      </c>
      <c r="F36" s="4"/>
      <c r="G36" s="4"/>
      <c r="H36" s="4"/>
      <c r="I36" s="4"/>
      <c r="K36" s="5"/>
      <c r="L36" s="5"/>
      <c r="M36" s="5"/>
      <c r="N36" s="18">
        <f t="shared" si="7"/>
        <v>0</v>
      </c>
      <c r="O36" s="19"/>
      <c r="P36" s="4"/>
      <c r="Q36" s="19"/>
      <c r="R36" s="19"/>
      <c r="T36" s="6"/>
      <c r="U36" s="18">
        <f t="shared" si="8"/>
        <v>0</v>
      </c>
      <c r="V36" s="5">
        <f t="shared" si="9"/>
        <v>0</v>
      </c>
    </row>
    <row r="37" spans="1:22" x14ac:dyDescent="0.25">
      <c r="A37">
        <v>35</v>
      </c>
      <c r="B37" s="17"/>
      <c r="C37" s="26">
        <f>_xlfn.ISOWEEKNUM(tbl_TD[[#This Row],[Data]])</f>
        <v>52</v>
      </c>
      <c r="D37">
        <f t="shared" si="5"/>
        <v>1</v>
      </c>
      <c r="E37">
        <f t="shared" si="6"/>
        <v>1900</v>
      </c>
      <c r="F37" s="4"/>
      <c r="G37" s="4"/>
      <c r="H37" s="4"/>
      <c r="I37" s="4"/>
      <c r="K37" s="5"/>
      <c r="L37" s="5"/>
      <c r="M37" s="5"/>
      <c r="N37" s="18">
        <f t="shared" si="7"/>
        <v>0</v>
      </c>
      <c r="O37" s="19"/>
      <c r="P37" s="4"/>
      <c r="Q37" s="19"/>
      <c r="R37" s="19"/>
      <c r="T37" s="6"/>
      <c r="U37" s="18">
        <f t="shared" si="8"/>
        <v>0</v>
      </c>
      <c r="V37" s="5">
        <f t="shared" si="9"/>
        <v>0</v>
      </c>
    </row>
    <row r="38" spans="1:22" x14ac:dyDescent="0.25">
      <c r="A38">
        <v>36</v>
      </c>
      <c r="B38" s="17"/>
      <c r="C38" s="26">
        <f>_xlfn.ISOWEEKNUM(tbl_TD[[#This Row],[Data]])</f>
        <v>52</v>
      </c>
      <c r="D38">
        <f t="shared" si="5"/>
        <v>1</v>
      </c>
      <c r="E38">
        <f t="shared" si="6"/>
        <v>1900</v>
      </c>
      <c r="F38" s="4"/>
      <c r="G38" s="4"/>
      <c r="H38" s="4"/>
      <c r="I38" s="4"/>
      <c r="K38" s="5"/>
      <c r="L38" s="5"/>
      <c r="M38" s="5"/>
      <c r="N38" s="18">
        <f t="shared" si="7"/>
        <v>0</v>
      </c>
      <c r="O38" s="19"/>
      <c r="P38" s="4"/>
      <c r="Q38" s="19"/>
      <c r="R38" s="19"/>
      <c r="T38" s="6"/>
      <c r="U38" s="18">
        <f t="shared" si="8"/>
        <v>0</v>
      </c>
      <c r="V38" s="5">
        <f t="shared" si="9"/>
        <v>0</v>
      </c>
    </row>
    <row r="39" spans="1:22" x14ac:dyDescent="0.25">
      <c r="A39">
        <v>37</v>
      </c>
      <c r="B39" s="17"/>
      <c r="C39" s="26">
        <f>_xlfn.ISOWEEKNUM(tbl_TD[[#This Row],[Data]])</f>
        <v>52</v>
      </c>
      <c r="D39">
        <f t="shared" si="5"/>
        <v>1</v>
      </c>
      <c r="E39">
        <f t="shared" si="6"/>
        <v>1900</v>
      </c>
      <c r="F39" s="4"/>
      <c r="G39" s="4"/>
      <c r="H39" s="4"/>
      <c r="I39" s="4"/>
      <c r="K39" s="5"/>
      <c r="L39" s="5"/>
      <c r="M39" s="5"/>
      <c r="N39" s="18">
        <f t="shared" si="7"/>
        <v>0</v>
      </c>
      <c r="O39" s="19"/>
      <c r="P39" s="4"/>
      <c r="Q39" s="19"/>
      <c r="R39" s="19"/>
      <c r="T39" s="6"/>
      <c r="U39" s="18">
        <f t="shared" si="8"/>
        <v>0</v>
      </c>
      <c r="V39" s="5">
        <f t="shared" si="9"/>
        <v>0</v>
      </c>
    </row>
    <row r="40" spans="1:22" x14ac:dyDescent="0.25">
      <c r="A40">
        <v>38</v>
      </c>
      <c r="B40" s="17"/>
      <c r="C40" s="26">
        <f>_xlfn.ISOWEEKNUM(tbl_TD[[#This Row],[Data]])</f>
        <v>52</v>
      </c>
      <c r="D40">
        <f t="shared" si="5"/>
        <v>1</v>
      </c>
      <c r="E40">
        <f t="shared" si="6"/>
        <v>1900</v>
      </c>
      <c r="F40" s="4"/>
      <c r="G40" s="4"/>
      <c r="H40" s="4"/>
      <c r="I40" s="4"/>
      <c r="K40" s="5"/>
      <c r="L40" s="5"/>
      <c r="M40" s="5"/>
      <c r="N40" s="18">
        <f t="shared" si="7"/>
        <v>0</v>
      </c>
      <c r="O40" s="19"/>
      <c r="P40" s="4"/>
      <c r="Q40" s="19"/>
      <c r="R40" s="19"/>
      <c r="T40" s="6"/>
      <c r="U40" s="18">
        <f t="shared" si="8"/>
        <v>0</v>
      </c>
      <c r="V40" s="5">
        <f t="shared" si="9"/>
        <v>0</v>
      </c>
    </row>
    <row r="41" spans="1:22" x14ac:dyDescent="0.25">
      <c r="A41">
        <v>39</v>
      </c>
      <c r="B41" s="17"/>
      <c r="C41" s="26">
        <f>_xlfn.ISOWEEKNUM(tbl_TD[[#This Row],[Data]])</f>
        <v>52</v>
      </c>
      <c r="D41">
        <f t="shared" si="5"/>
        <v>1</v>
      </c>
      <c r="E41">
        <f t="shared" si="6"/>
        <v>1900</v>
      </c>
      <c r="F41" s="4"/>
      <c r="G41" s="4"/>
      <c r="H41" s="4"/>
      <c r="I41" s="4"/>
      <c r="K41" s="5"/>
      <c r="L41" s="5"/>
      <c r="M41" s="5"/>
      <c r="N41" s="18">
        <f t="shared" si="7"/>
        <v>0</v>
      </c>
      <c r="O41" s="19"/>
      <c r="P41" s="4"/>
      <c r="Q41" s="19"/>
      <c r="R41" s="19"/>
      <c r="T41" s="6"/>
      <c r="U41" s="18">
        <f t="shared" si="8"/>
        <v>0</v>
      </c>
      <c r="V41" s="5">
        <f t="shared" si="9"/>
        <v>0</v>
      </c>
    </row>
    <row r="42" spans="1:22" x14ac:dyDescent="0.25">
      <c r="A42">
        <v>40</v>
      </c>
      <c r="B42" s="17"/>
      <c r="C42" s="26">
        <f>_xlfn.ISOWEEKNUM(tbl_TD[[#This Row],[Data]])</f>
        <v>52</v>
      </c>
      <c r="D42">
        <f t="shared" si="5"/>
        <v>1</v>
      </c>
      <c r="E42">
        <f t="shared" si="6"/>
        <v>1900</v>
      </c>
      <c r="F42" s="4"/>
      <c r="G42" s="4"/>
      <c r="H42" s="4"/>
      <c r="I42" s="4"/>
      <c r="K42" s="5"/>
      <c r="L42" s="5"/>
      <c r="M42" s="5"/>
      <c r="N42" s="18">
        <f t="shared" si="7"/>
        <v>0</v>
      </c>
      <c r="O42" s="19"/>
      <c r="P42" s="4"/>
      <c r="Q42" s="19"/>
      <c r="R42" s="19"/>
      <c r="T42" s="6"/>
      <c r="U42" s="18">
        <f t="shared" si="8"/>
        <v>0</v>
      </c>
      <c r="V42" s="5">
        <f t="shared" si="9"/>
        <v>0</v>
      </c>
    </row>
    <row r="43" spans="1:22" x14ac:dyDescent="0.25">
      <c r="A43">
        <v>41</v>
      </c>
      <c r="B43" s="17"/>
      <c r="C43" s="26">
        <f>_xlfn.ISOWEEKNUM(tbl_TD[[#This Row],[Data]])</f>
        <v>52</v>
      </c>
      <c r="D43">
        <f t="shared" si="5"/>
        <v>1</v>
      </c>
      <c r="E43">
        <f t="shared" si="6"/>
        <v>1900</v>
      </c>
      <c r="F43" s="4"/>
      <c r="G43" s="4"/>
      <c r="H43" s="4"/>
      <c r="I43" s="4"/>
      <c r="K43" s="5"/>
      <c r="L43" s="5"/>
      <c r="M43" s="5"/>
      <c r="N43" s="18">
        <f t="shared" si="7"/>
        <v>0</v>
      </c>
      <c r="O43" s="19"/>
      <c r="P43" s="4"/>
      <c r="Q43" s="19"/>
      <c r="R43" s="19"/>
      <c r="T43" s="6"/>
      <c r="U43" s="18">
        <f t="shared" si="8"/>
        <v>0</v>
      </c>
      <c r="V43" s="5">
        <f t="shared" si="9"/>
        <v>0</v>
      </c>
    </row>
    <row r="44" spans="1:22" x14ac:dyDescent="0.25">
      <c r="A44">
        <v>42</v>
      </c>
      <c r="B44" s="17"/>
      <c r="C44" s="26">
        <f>_xlfn.ISOWEEKNUM(tbl_TD[[#This Row],[Data]])</f>
        <v>52</v>
      </c>
      <c r="D44">
        <f t="shared" si="5"/>
        <v>1</v>
      </c>
      <c r="E44">
        <f t="shared" si="6"/>
        <v>1900</v>
      </c>
      <c r="F44" s="4"/>
      <c r="G44" s="4"/>
      <c r="H44" s="4"/>
      <c r="I44" s="4"/>
      <c r="K44" s="5"/>
      <c r="L44" s="5"/>
      <c r="M44" s="5"/>
      <c r="N44" s="18">
        <f t="shared" si="7"/>
        <v>0</v>
      </c>
      <c r="O44" s="19"/>
      <c r="P44" s="4"/>
      <c r="Q44" s="19"/>
      <c r="R44" s="19"/>
      <c r="T44" s="6"/>
      <c r="U44" s="18">
        <f t="shared" si="8"/>
        <v>0</v>
      </c>
      <c r="V44" s="5">
        <f t="shared" si="9"/>
        <v>0</v>
      </c>
    </row>
    <row r="45" spans="1:22" x14ac:dyDescent="0.25">
      <c r="A45">
        <v>43</v>
      </c>
      <c r="B45" s="17"/>
      <c r="C45" s="26">
        <f>_xlfn.ISOWEEKNUM(tbl_TD[[#This Row],[Data]])</f>
        <v>52</v>
      </c>
      <c r="D45">
        <f t="shared" si="5"/>
        <v>1</v>
      </c>
      <c r="E45">
        <f t="shared" si="6"/>
        <v>1900</v>
      </c>
      <c r="F45" s="4"/>
      <c r="G45" s="4"/>
      <c r="H45" s="4"/>
      <c r="I45" s="4"/>
      <c r="K45" s="5"/>
      <c r="L45" s="5"/>
      <c r="M45" s="5"/>
      <c r="N45" s="18">
        <f t="shared" si="7"/>
        <v>0</v>
      </c>
      <c r="O45" s="19"/>
      <c r="P45" s="4"/>
      <c r="Q45" s="19"/>
      <c r="R45" s="19"/>
      <c r="T45" s="6"/>
      <c r="U45" s="18">
        <f t="shared" si="8"/>
        <v>0</v>
      </c>
      <c r="V45" s="5">
        <f t="shared" si="9"/>
        <v>0</v>
      </c>
    </row>
    <row r="46" spans="1:22" x14ac:dyDescent="0.25">
      <c r="A46">
        <v>44</v>
      </c>
      <c r="B46" s="17"/>
      <c r="C46" s="26">
        <f>_xlfn.ISOWEEKNUM(tbl_TD[[#This Row],[Data]])</f>
        <v>52</v>
      </c>
      <c r="D46">
        <f t="shared" si="5"/>
        <v>1</v>
      </c>
      <c r="E46">
        <f t="shared" si="6"/>
        <v>1900</v>
      </c>
      <c r="F46" s="4"/>
      <c r="G46" s="4"/>
      <c r="H46" s="4"/>
      <c r="I46" s="4"/>
      <c r="K46" s="5"/>
      <c r="L46" s="5"/>
      <c r="M46" s="5"/>
      <c r="N46" s="18">
        <f t="shared" si="7"/>
        <v>0</v>
      </c>
      <c r="O46" s="19"/>
      <c r="P46" s="4"/>
      <c r="Q46" s="19"/>
      <c r="R46" s="19"/>
      <c r="T46" s="6"/>
      <c r="U46" s="18">
        <f t="shared" si="8"/>
        <v>0</v>
      </c>
      <c r="V46" s="5">
        <f t="shared" si="9"/>
        <v>0</v>
      </c>
    </row>
    <row r="47" spans="1:22" x14ac:dyDescent="0.25">
      <c r="A47">
        <v>45</v>
      </c>
      <c r="B47" s="17"/>
      <c r="C47" s="26">
        <f>_xlfn.ISOWEEKNUM(tbl_TD[[#This Row],[Data]])</f>
        <v>52</v>
      </c>
      <c r="D47">
        <f t="shared" si="5"/>
        <v>1</v>
      </c>
      <c r="E47">
        <f t="shared" si="6"/>
        <v>1900</v>
      </c>
      <c r="F47" s="4"/>
      <c r="G47" s="4"/>
      <c r="H47" s="4"/>
      <c r="I47" s="4"/>
      <c r="K47" s="5"/>
      <c r="L47" s="5"/>
      <c r="M47" s="5"/>
      <c r="N47" s="18">
        <f t="shared" si="7"/>
        <v>0</v>
      </c>
      <c r="O47" s="19"/>
      <c r="P47" s="4"/>
      <c r="Q47" s="19"/>
      <c r="R47" s="19"/>
      <c r="T47" s="6"/>
      <c r="U47" s="18">
        <f t="shared" si="8"/>
        <v>0</v>
      </c>
      <c r="V47" s="5">
        <f t="shared" si="9"/>
        <v>0</v>
      </c>
    </row>
    <row r="48" spans="1:22" x14ac:dyDescent="0.25">
      <c r="A48">
        <v>46</v>
      </c>
      <c r="B48" s="17"/>
      <c r="C48" s="26">
        <f>_xlfn.ISOWEEKNUM(tbl_TD[[#This Row],[Data]])</f>
        <v>52</v>
      </c>
      <c r="D48">
        <f t="shared" si="5"/>
        <v>1</v>
      </c>
      <c r="E48">
        <f t="shared" si="6"/>
        <v>1900</v>
      </c>
      <c r="F48" s="4"/>
      <c r="G48" s="4"/>
      <c r="H48" s="4"/>
      <c r="I48" s="4"/>
      <c r="K48" s="5"/>
      <c r="L48" s="5"/>
      <c r="M48" s="5"/>
      <c r="N48" s="18">
        <f t="shared" si="7"/>
        <v>0</v>
      </c>
      <c r="O48" s="19"/>
      <c r="P48" s="4"/>
      <c r="Q48" s="19"/>
      <c r="R48" s="19"/>
      <c r="T48" s="6"/>
      <c r="U48" s="18">
        <f t="shared" si="8"/>
        <v>0</v>
      </c>
      <c r="V48" s="5">
        <f t="shared" si="9"/>
        <v>0</v>
      </c>
    </row>
    <row r="49" spans="1:22" x14ac:dyDescent="0.25">
      <c r="A49">
        <v>47</v>
      </c>
      <c r="B49" s="17"/>
      <c r="C49" s="26">
        <f>_xlfn.ISOWEEKNUM(tbl_TD[[#This Row],[Data]])</f>
        <v>52</v>
      </c>
      <c r="D49">
        <f t="shared" si="5"/>
        <v>1</v>
      </c>
      <c r="E49">
        <f t="shared" si="6"/>
        <v>1900</v>
      </c>
      <c r="F49" s="4"/>
      <c r="G49" s="4"/>
      <c r="H49" s="4"/>
      <c r="I49" s="4"/>
      <c r="K49" s="5"/>
      <c r="L49" s="5"/>
      <c r="M49" s="5"/>
      <c r="N49" s="18">
        <f t="shared" si="7"/>
        <v>0</v>
      </c>
      <c r="O49" s="19"/>
      <c r="P49" s="4"/>
      <c r="Q49" s="19"/>
      <c r="R49" s="19"/>
      <c r="T49" s="6"/>
      <c r="U49" s="18">
        <f t="shared" si="8"/>
        <v>0</v>
      </c>
      <c r="V49" s="5">
        <f t="shared" si="9"/>
        <v>0</v>
      </c>
    </row>
    <row r="50" spans="1:22" x14ac:dyDescent="0.25">
      <c r="A50">
        <v>48</v>
      </c>
      <c r="B50" s="17"/>
      <c r="C50" s="26">
        <f>_xlfn.ISOWEEKNUM(tbl_TD[[#This Row],[Data]])</f>
        <v>52</v>
      </c>
      <c r="D50">
        <f t="shared" si="5"/>
        <v>1</v>
      </c>
      <c r="E50">
        <f t="shared" si="6"/>
        <v>1900</v>
      </c>
      <c r="F50" s="4"/>
      <c r="G50" s="4"/>
      <c r="H50" s="4"/>
      <c r="I50" s="4"/>
      <c r="K50" s="5"/>
      <c r="L50" s="5"/>
      <c r="M50" s="5"/>
      <c r="N50" s="18">
        <f t="shared" si="7"/>
        <v>0</v>
      </c>
      <c r="O50" s="19"/>
      <c r="P50" s="4"/>
      <c r="Q50" s="19"/>
      <c r="R50" s="19"/>
      <c r="T50" s="6"/>
      <c r="U50" s="18">
        <f t="shared" si="8"/>
        <v>0</v>
      </c>
      <c r="V50" s="5">
        <f t="shared" si="9"/>
        <v>0</v>
      </c>
    </row>
    <row r="51" spans="1:22" x14ac:dyDescent="0.25">
      <c r="A51">
        <v>49</v>
      </c>
      <c r="B51" s="17"/>
      <c r="C51" s="26">
        <f>_xlfn.ISOWEEKNUM(tbl_TD[[#This Row],[Data]])</f>
        <v>52</v>
      </c>
      <c r="D51">
        <f t="shared" si="5"/>
        <v>1</v>
      </c>
      <c r="E51">
        <f t="shared" si="6"/>
        <v>1900</v>
      </c>
      <c r="F51" s="4"/>
      <c r="G51" s="4"/>
      <c r="H51" s="4"/>
      <c r="I51" s="4"/>
      <c r="K51" s="5"/>
      <c r="L51" s="5"/>
      <c r="M51" s="5"/>
      <c r="N51" s="18">
        <f t="shared" si="7"/>
        <v>0</v>
      </c>
      <c r="O51" s="19"/>
      <c r="P51" s="4"/>
      <c r="Q51" s="19"/>
      <c r="R51" s="19"/>
      <c r="T51" s="6"/>
      <c r="U51" s="18">
        <f t="shared" si="8"/>
        <v>0</v>
      </c>
      <c r="V51" s="5">
        <f t="shared" si="9"/>
        <v>0</v>
      </c>
    </row>
    <row r="52" spans="1:22" x14ac:dyDescent="0.25">
      <c r="A52">
        <v>50</v>
      </c>
      <c r="B52" s="17"/>
      <c r="C52" s="26">
        <f>_xlfn.ISOWEEKNUM(tbl_TD[[#This Row],[Data]])</f>
        <v>52</v>
      </c>
      <c r="D52">
        <f t="shared" si="5"/>
        <v>1</v>
      </c>
      <c r="E52">
        <f t="shared" si="6"/>
        <v>1900</v>
      </c>
      <c r="F52" s="4"/>
      <c r="G52" s="4"/>
      <c r="H52" s="4"/>
      <c r="I52" s="4"/>
      <c r="K52" s="5"/>
      <c r="L52" s="5"/>
      <c r="M52" s="5"/>
      <c r="N52" s="18">
        <f t="shared" si="7"/>
        <v>0</v>
      </c>
      <c r="O52" s="19"/>
      <c r="P52" s="4"/>
      <c r="Q52" s="19"/>
      <c r="R52" s="19"/>
      <c r="T52" s="6"/>
      <c r="U52" s="18">
        <f t="shared" si="8"/>
        <v>0</v>
      </c>
      <c r="V52" s="5">
        <f t="shared" si="9"/>
        <v>0</v>
      </c>
    </row>
    <row r="53" spans="1:22" x14ac:dyDescent="0.25">
      <c r="A53">
        <v>51</v>
      </c>
      <c r="B53" s="17"/>
      <c r="C53" s="26">
        <f>_xlfn.ISOWEEKNUM(tbl_TD[[#This Row],[Data]])</f>
        <v>52</v>
      </c>
      <c r="D53">
        <f t="shared" si="5"/>
        <v>1</v>
      </c>
      <c r="E53">
        <f t="shared" si="6"/>
        <v>1900</v>
      </c>
      <c r="F53" s="4"/>
      <c r="G53" s="4"/>
      <c r="H53" s="4"/>
      <c r="I53" s="4"/>
      <c r="K53" s="5"/>
      <c r="L53" s="5"/>
      <c r="M53" s="5"/>
      <c r="N53" s="18">
        <f t="shared" si="7"/>
        <v>0</v>
      </c>
      <c r="O53" s="19"/>
      <c r="P53" s="4"/>
      <c r="Q53" s="19"/>
      <c r="R53" s="19"/>
      <c r="T53" s="6"/>
      <c r="U53" s="18">
        <f t="shared" si="8"/>
        <v>0</v>
      </c>
      <c r="V53" s="5">
        <f t="shared" si="9"/>
        <v>0</v>
      </c>
    </row>
    <row r="54" spans="1:22" x14ac:dyDescent="0.25">
      <c r="A54">
        <v>52</v>
      </c>
      <c r="B54" s="17"/>
      <c r="C54" s="26">
        <f>_xlfn.ISOWEEKNUM(tbl_TD[[#This Row],[Data]])</f>
        <v>52</v>
      </c>
      <c r="D54">
        <f t="shared" si="5"/>
        <v>1</v>
      </c>
      <c r="E54">
        <f t="shared" si="6"/>
        <v>1900</v>
      </c>
      <c r="F54" s="4"/>
      <c r="G54" s="4"/>
      <c r="H54" s="4"/>
      <c r="I54" s="4"/>
      <c r="K54" s="5"/>
      <c r="L54" s="5"/>
      <c r="M54" s="5"/>
      <c r="N54" s="18">
        <f t="shared" si="7"/>
        <v>0</v>
      </c>
      <c r="O54" s="19"/>
      <c r="P54" s="4"/>
      <c r="Q54" s="19"/>
      <c r="R54" s="19"/>
      <c r="T54" s="6"/>
      <c r="U54" s="18">
        <f t="shared" si="8"/>
        <v>0</v>
      </c>
      <c r="V54" s="5">
        <f t="shared" si="9"/>
        <v>0</v>
      </c>
    </row>
    <row r="55" spans="1:22" x14ac:dyDescent="0.25">
      <c r="A55">
        <v>53</v>
      </c>
      <c r="B55" s="17"/>
      <c r="C55" s="26">
        <f>_xlfn.ISOWEEKNUM(tbl_TD[[#This Row],[Data]])</f>
        <v>52</v>
      </c>
      <c r="D55">
        <f t="shared" si="5"/>
        <v>1</v>
      </c>
      <c r="E55">
        <f t="shared" si="6"/>
        <v>1900</v>
      </c>
      <c r="F55" s="4"/>
      <c r="G55" s="4"/>
      <c r="H55" s="4"/>
      <c r="I55" s="4"/>
      <c r="K55" s="5"/>
      <c r="L55" s="5"/>
      <c r="M55" s="5"/>
      <c r="N55" s="18">
        <f t="shared" si="7"/>
        <v>0</v>
      </c>
      <c r="O55" s="19"/>
      <c r="P55" s="4"/>
      <c r="Q55" s="19"/>
      <c r="R55" s="19"/>
      <c r="T55" s="6"/>
      <c r="U55" s="18">
        <f t="shared" si="8"/>
        <v>0</v>
      </c>
      <c r="V55" s="5">
        <f t="shared" si="9"/>
        <v>0</v>
      </c>
    </row>
    <row r="56" spans="1:22" x14ac:dyDescent="0.25">
      <c r="A56">
        <v>54</v>
      </c>
      <c r="B56" s="17"/>
      <c r="C56" s="26">
        <f>_xlfn.ISOWEEKNUM(tbl_TD[[#This Row],[Data]])</f>
        <v>52</v>
      </c>
      <c r="D56">
        <f t="shared" si="5"/>
        <v>1</v>
      </c>
      <c r="E56">
        <f t="shared" si="6"/>
        <v>1900</v>
      </c>
      <c r="F56" s="4"/>
      <c r="G56" s="4"/>
      <c r="H56" s="4"/>
      <c r="I56" s="4"/>
      <c r="K56" s="5"/>
      <c r="L56" s="5"/>
      <c r="M56" s="5"/>
      <c r="N56" s="18">
        <f t="shared" si="7"/>
        <v>0</v>
      </c>
      <c r="O56" s="19"/>
      <c r="P56" s="4"/>
      <c r="Q56" s="19"/>
      <c r="R56" s="19"/>
      <c r="T56" s="6"/>
      <c r="U56" s="18">
        <f t="shared" si="8"/>
        <v>0</v>
      </c>
      <c r="V56" s="5">
        <f t="shared" si="9"/>
        <v>0</v>
      </c>
    </row>
    <row r="57" spans="1:22" x14ac:dyDescent="0.25">
      <c r="A57">
        <v>55</v>
      </c>
      <c r="B57" s="17"/>
      <c r="C57" s="26">
        <f>_xlfn.ISOWEEKNUM(tbl_TD[[#This Row],[Data]])</f>
        <v>52</v>
      </c>
      <c r="D57">
        <f t="shared" si="5"/>
        <v>1</v>
      </c>
      <c r="E57">
        <f t="shared" si="6"/>
        <v>1900</v>
      </c>
      <c r="F57" s="4"/>
      <c r="G57" s="4"/>
      <c r="H57" s="4"/>
      <c r="I57" s="4"/>
      <c r="K57" s="5"/>
      <c r="L57" s="5"/>
      <c r="M57" s="5"/>
      <c r="N57" s="18">
        <f t="shared" si="7"/>
        <v>0</v>
      </c>
      <c r="O57" s="19"/>
      <c r="P57" s="4"/>
      <c r="Q57" s="19"/>
      <c r="R57" s="19"/>
      <c r="T57" s="6"/>
      <c r="U57" s="18">
        <f t="shared" si="8"/>
        <v>0</v>
      </c>
      <c r="V57" s="5">
        <f t="shared" si="9"/>
        <v>0</v>
      </c>
    </row>
    <row r="58" spans="1:22" x14ac:dyDescent="0.25">
      <c r="A58">
        <v>56</v>
      </c>
      <c r="B58" s="17"/>
      <c r="C58" s="26">
        <f>_xlfn.ISOWEEKNUM(tbl_TD[[#This Row],[Data]])</f>
        <v>52</v>
      </c>
      <c r="D58">
        <f t="shared" si="5"/>
        <v>1</v>
      </c>
      <c r="E58">
        <f t="shared" si="6"/>
        <v>1900</v>
      </c>
      <c r="F58" s="4"/>
      <c r="G58" s="4"/>
      <c r="H58" s="4"/>
      <c r="I58" s="4"/>
      <c r="K58" s="5"/>
      <c r="L58" s="5"/>
      <c r="M58" s="5"/>
      <c r="N58" s="18">
        <f t="shared" si="7"/>
        <v>0</v>
      </c>
      <c r="O58" s="19"/>
      <c r="P58" s="4"/>
      <c r="Q58" s="19"/>
      <c r="R58" s="19"/>
      <c r="T58" s="6"/>
      <c r="U58" s="18">
        <f t="shared" si="8"/>
        <v>0</v>
      </c>
      <c r="V58" s="5">
        <f t="shared" si="9"/>
        <v>0</v>
      </c>
    </row>
    <row r="59" spans="1:22" x14ac:dyDescent="0.25">
      <c r="A59">
        <v>57</v>
      </c>
      <c r="B59" s="17"/>
      <c r="C59" s="26">
        <f>_xlfn.ISOWEEKNUM(tbl_TD[[#This Row],[Data]])</f>
        <v>52</v>
      </c>
      <c r="D59">
        <f t="shared" si="5"/>
        <v>1</v>
      </c>
      <c r="E59">
        <f t="shared" si="6"/>
        <v>1900</v>
      </c>
      <c r="F59" s="4"/>
      <c r="G59" s="4"/>
      <c r="H59" s="4"/>
      <c r="I59" s="4"/>
      <c r="K59" s="5"/>
      <c r="L59" s="5"/>
      <c r="M59" s="5"/>
      <c r="N59" s="18">
        <f t="shared" si="7"/>
        <v>0</v>
      </c>
      <c r="O59" s="19"/>
      <c r="P59" s="4"/>
      <c r="Q59" s="19"/>
      <c r="R59" s="19"/>
      <c r="T59" s="6"/>
      <c r="U59" s="18">
        <f t="shared" si="8"/>
        <v>0</v>
      </c>
      <c r="V59" s="5">
        <f t="shared" si="9"/>
        <v>0</v>
      </c>
    </row>
    <row r="60" spans="1:22" x14ac:dyDescent="0.25">
      <c r="A60">
        <v>58</v>
      </c>
      <c r="B60" s="17"/>
      <c r="C60" s="26">
        <f>_xlfn.ISOWEEKNUM(tbl_TD[[#This Row],[Data]])</f>
        <v>52</v>
      </c>
      <c r="D60">
        <f t="shared" si="5"/>
        <v>1</v>
      </c>
      <c r="E60">
        <f t="shared" si="6"/>
        <v>1900</v>
      </c>
      <c r="F60" s="4"/>
      <c r="G60" s="4"/>
      <c r="H60" s="4"/>
      <c r="I60" s="4"/>
      <c r="K60" s="5"/>
      <c r="L60" s="5"/>
      <c r="M60" s="5"/>
      <c r="N60" s="18">
        <f t="shared" si="7"/>
        <v>0</v>
      </c>
      <c r="O60" s="19"/>
      <c r="P60" s="4"/>
      <c r="Q60" s="19"/>
      <c r="R60" s="19"/>
      <c r="T60" s="6"/>
      <c r="U60" s="18">
        <f t="shared" si="8"/>
        <v>0</v>
      </c>
      <c r="V60" s="5">
        <f t="shared" si="9"/>
        <v>0</v>
      </c>
    </row>
    <row r="61" spans="1:22" x14ac:dyDescent="0.25">
      <c r="A61">
        <v>59</v>
      </c>
      <c r="B61" s="17"/>
      <c r="C61" s="26">
        <f>_xlfn.ISOWEEKNUM(tbl_TD[[#This Row],[Data]])</f>
        <v>52</v>
      </c>
      <c r="D61">
        <f t="shared" si="5"/>
        <v>1</v>
      </c>
      <c r="E61">
        <f t="shared" si="6"/>
        <v>1900</v>
      </c>
      <c r="F61" s="4"/>
      <c r="G61" s="4"/>
      <c r="H61" s="4"/>
      <c r="I61" s="4"/>
      <c r="K61" s="5"/>
      <c r="L61" s="5"/>
      <c r="M61" s="5"/>
      <c r="N61" s="18">
        <f t="shared" si="7"/>
        <v>0</v>
      </c>
      <c r="O61" s="19"/>
      <c r="P61" s="4"/>
      <c r="Q61" s="19"/>
      <c r="R61" s="19"/>
      <c r="T61" s="6"/>
      <c r="U61" s="18">
        <f t="shared" si="8"/>
        <v>0</v>
      </c>
      <c r="V61" s="5">
        <f t="shared" si="9"/>
        <v>0</v>
      </c>
    </row>
    <row r="62" spans="1:22" x14ac:dyDescent="0.25">
      <c r="A62">
        <v>60</v>
      </c>
      <c r="B62" s="17"/>
      <c r="C62" s="26">
        <f>_xlfn.ISOWEEKNUM(tbl_TD[[#This Row],[Data]])</f>
        <v>52</v>
      </c>
      <c r="D62">
        <f t="shared" si="5"/>
        <v>1</v>
      </c>
      <c r="E62">
        <f t="shared" si="6"/>
        <v>1900</v>
      </c>
      <c r="F62" s="4"/>
      <c r="G62" s="4"/>
      <c r="H62" s="4"/>
      <c r="I62" s="4"/>
      <c r="K62" s="5"/>
      <c r="L62" s="5"/>
      <c r="M62" s="5"/>
      <c r="N62" s="18">
        <f t="shared" si="7"/>
        <v>0</v>
      </c>
      <c r="O62" s="19"/>
      <c r="P62" s="4"/>
      <c r="Q62" s="19"/>
      <c r="R62" s="19"/>
      <c r="T62" s="6"/>
      <c r="U62" s="18">
        <f t="shared" si="8"/>
        <v>0</v>
      </c>
      <c r="V62" s="5">
        <f t="shared" si="9"/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Dimensoes!$A$3:$A$11</xm:f>
          </x14:formula1>
          <xm:sqref>F3:F62</xm:sqref>
        </x14:dataValidation>
        <x14:dataValidation type="list" allowBlank="1" showInputMessage="1" showErrorMessage="1">
          <x14:formula1>
            <xm:f>Dimensoes!$D$3:$D$14</xm:f>
          </x14:formula1>
          <xm:sqref>H3:H62</xm:sqref>
        </x14:dataValidation>
        <x14:dataValidation type="list" allowBlank="1" showInputMessage="1" showErrorMessage="1">
          <x14:formula1>
            <xm:f>Dimensoes!$E$3:$E$5</xm:f>
          </x14:formula1>
          <xm:sqref>I3:I62</xm:sqref>
        </x14:dataValidation>
        <x14:dataValidation type="list" allowBlank="1" showInputMessage="1" showErrorMessage="1">
          <x14:formula1>
            <xm:f>Dimensoes!$G$3:$G$7</xm:f>
          </x14:formula1>
          <xm:sqref>E3:E62</xm:sqref>
        </x14:dataValidation>
        <x14:dataValidation type="list" allowBlank="1" showInputMessage="1" showErrorMessage="1">
          <x14:formula1>
            <xm:f>Dimensoes!$B$3:$B$12</xm:f>
          </x14:formula1>
          <xm:sqref>G3:G62</xm:sqref>
        </x14:dataValidation>
        <x14:dataValidation type="list" allowBlank="1" showInputMessage="1" showErrorMessage="1">
          <x14:formula1>
            <xm:f>Dimensoes!$F$3:$F$7</xm:f>
          </x14:formula1>
          <xm:sqref>P3:P62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showGridLines="0" workbookViewId="0">
      <selection activeCell="B17" sqref="B17"/>
    </sheetView>
  </sheetViews>
  <sheetFormatPr defaultRowHeight="15" x14ac:dyDescent="0.25"/>
  <cols>
    <col min="1" max="2" width="22" customWidth="1"/>
    <col min="3" max="3" width="16" customWidth="1"/>
    <col min="4" max="4" width="18.42578125" bestFit="1" customWidth="1"/>
    <col min="5" max="6" width="16" customWidth="1"/>
  </cols>
  <sheetData>
    <row r="1" spans="1:7" x14ac:dyDescent="0.25">
      <c r="A1" s="30" t="s">
        <v>126</v>
      </c>
      <c r="B1" s="30"/>
      <c r="C1" s="30"/>
      <c r="D1" s="30"/>
      <c r="E1" s="30"/>
      <c r="F1" s="30"/>
      <c r="G1" s="30"/>
    </row>
    <row r="2" spans="1:7" x14ac:dyDescent="0.25">
      <c r="A2" s="7" t="s">
        <v>5</v>
      </c>
      <c r="B2" s="7" t="s">
        <v>6</v>
      </c>
      <c r="C2" s="7" t="s">
        <v>53</v>
      </c>
      <c r="D2" s="7" t="s">
        <v>7</v>
      </c>
      <c r="E2" s="7" t="s">
        <v>8</v>
      </c>
      <c r="F2" s="7" t="s">
        <v>15</v>
      </c>
      <c r="G2" s="27" t="s">
        <v>4</v>
      </c>
    </row>
    <row r="3" spans="1:7" x14ac:dyDescent="0.25">
      <c r="A3" s="8" t="s">
        <v>54</v>
      </c>
      <c r="B3" s="8" t="s">
        <v>54</v>
      </c>
      <c r="C3" s="8" t="s">
        <v>40</v>
      </c>
      <c r="D3" s="8" t="s">
        <v>54</v>
      </c>
      <c r="E3" s="8" t="s">
        <v>54</v>
      </c>
      <c r="F3" s="8" t="s">
        <v>54</v>
      </c>
      <c r="G3" s="8">
        <v>2026</v>
      </c>
    </row>
    <row r="4" spans="1:7" x14ac:dyDescent="0.25">
      <c r="A4" s="8" t="s">
        <v>39</v>
      </c>
      <c r="B4" s="8" t="s">
        <v>45</v>
      </c>
      <c r="C4" s="8" t="s">
        <v>38</v>
      </c>
      <c r="D4" s="8" t="s">
        <v>115</v>
      </c>
      <c r="E4" s="8" t="s">
        <v>139</v>
      </c>
      <c r="F4" s="8" t="s">
        <v>40</v>
      </c>
      <c r="G4" s="8">
        <v>2027</v>
      </c>
    </row>
    <row r="5" spans="1:7" x14ac:dyDescent="0.25">
      <c r="A5" s="8" t="s">
        <v>36</v>
      </c>
      <c r="B5" s="8" t="s">
        <v>42</v>
      </c>
      <c r="C5" s="8" t="s">
        <v>55</v>
      </c>
      <c r="D5" s="8" t="s">
        <v>116</v>
      </c>
      <c r="E5" s="8" t="s">
        <v>140</v>
      </c>
      <c r="F5" s="8" t="s">
        <v>38</v>
      </c>
      <c r="G5" s="8">
        <v>2028</v>
      </c>
    </row>
    <row r="6" spans="1:7" x14ac:dyDescent="0.25">
      <c r="A6" s="8" t="s">
        <v>52</v>
      </c>
      <c r="B6" s="8" t="s">
        <v>43</v>
      </c>
      <c r="C6" s="8" t="s">
        <v>56</v>
      </c>
      <c r="D6" s="8" t="s">
        <v>117</v>
      </c>
      <c r="E6" s="25"/>
      <c r="F6" s="8" t="s">
        <v>44</v>
      </c>
      <c r="G6" s="8">
        <v>2029</v>
      </c>
    </row>
    <row r="7" spans="1:7" x14ac:dyDescent="0.25">
      <c r="A7" s="8" t="s">
        <v>110</v>
      </c>
      <c r="B7" s="8" t="s">
        <v>40</v>
      </c>
      <c r="C7" s="8" t="s">
        <v>57</v>
      </c>
      <c r="D7" s="8" t="s">
        <v>118</v>
      </c>
      <c r="E7" s="25"/>
      <c r="F7" s="8" t="s">
        <v>46</v>
      </c>
      <c r="G7" s="8">
        <v>2030</v>
      </c>
    </row>
    <row r="8" spans="1:7" x14ac:dyDescent="0.25">
      <c r="A8" s="8" t="s">
        <v>111</v>
      </c>
      <c r="B8" s="8" t="s">
        <v>51</v>
      </c>
      <c r="C8" s="25"/>
      <c r="D8" s="8" t="s">
        <v>119</v>
      </c>
      <c r="E8" s="25"/>
      <c r="F8" s="25"/>
      <c r="G8" s="25"/>
    </row>
    <row r="9" spans="1:7" x14ac:dyDescent="0.25">
      <c r="A9" s="8" t="s">
        <v>112</v>
      </c>
      <c r="B9" s="8" t="s">
        <v>37</v>
      </c>
      <c r="C9" s="25"/>
      <c r="D9" s="8" t="s">
        <v>120</v>
      </c>
      <c r="E9" s="25"/>
      <c r="F9" s="25"/>
      <c r="G9" s="25"/>
    </row>
    <row r="10" spans="1:7" x14ac:dyDescent="0.25">
      <c r="A10" s="8" t="s">
        <v>113</v>
      </c>
      <c r="B10" s="8" t="s">
        <v>48</v>
      </c>
      <c r="C10" s="25"/>
      <c r="D10" s="8" t="s">
        <v>121</v>
      </c>
      <c r="E10" s="25"/>
      <c r="F10" s="25"/>
      <c r="G10" s="25"/>
    </row>
    <row r="11" spans="1:7" x14ac:dyDescent="0.25">
      <c r="A11" s="8" t="s">
        <v>114</v>
      </c>
      <c r="B11" s="8" t="s">
        <v>141</v>
      </c>
      <c r="C11" s="25"/>
      <c r="D11" s="8" t="s">
        <v>122</v>
      </c>
      <c r="E11" s="25"/>
      <c r="F11" s="25"/>
      <c r="G11" s="25"/>
    </row>
    <row r="12" spans="1:7" x14ac:dyDescent="0.25">
      <c r="A12" s="25"/>
      <c r="B12" s="8" t="s">
        <v>142</v>
      </c>
      <c r="C12" s="25"/>
      <c r="D12" s="8" t="s">
        <v>123</v>
      </c>
      <c r="E12" s="25"/>
      <c r="F12" s="25"/>
      <c r="G12" s="25"/>
    </row>
    <row r="13" spans="1:7" x14ac:dyDescent="0.25">
      <c r="A13" s="25"/>
      <c r="B13" s="25"/>
      <c r="C13" s="25"/>
      <c r="D13" s="8" t="s">
        <v>124</v>
      </c>
      <c r="E13" s="25"/>
      <c r="F13" s="25"/>
      <c r="G13" s="25"/>
    </row>
    <row r="14" spans="1:7" x14ac:dyDescent="0.25">
      <c r="A14" s="25"/>
      <c r="C14" s="25"/>
      <c r="D14" s="8" t="s">
        <v>125</v>
      </c>
      <c r="E14" s="25"/>
      <c r="F14" s="25"/>
      <c r="G14" s="25"/>
    </row>
    <row r="15" spans="1:7" x14ac:dyDescent="0.25">
      <c r="A15" s="25"/>
      <c r="C15" s="25"/>
      <c r="E15" s="25"/>
      <c r="F15" s="25"/>
      <c r="G15" s="25"/>
    </row>
    <row r="16" spans="1:7" x14ac:dyDescent="0.25">
      <c r="A16" s="25"/>
      <c r="C16" s="25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GridLines="0" workbookViewId="0">
      <selection activeCell="G10" sqref="G10"/>
    </sheetView>
  </sheetViews>
  <sheetFormatPr defaultRowHeight="15" x14ac:dyDescent="0.25"/>
  <cols>
    <col min="1" max="1" width="28" customWidth="1"/>
    <col min="2" max="2" width="21" bestFit="1" customWidth="1"/>
    <col min="3" max="3" width="14" customWidth="1"/>
    <col min="4" max="4" width="12.7109375" bestFit="1" customWidth="1"/>
    <col min="5" max="5" width="16" customWidth="1"/>
    <col min="6" max="6" width="2" customWidth="1"/>
    <col min="7" max="7" width="16" customWidth="1"/>
    <col min="8" max="8" width="2" customWidth="1"/>
    <col min="9" max="9" width="16" customWidth="1"/>
    <col min="10" max="10" width="2" customWidth="1"/>
    <col min="11" max="11" width="18" customWidth="1"/>
    <col min="12" max="12" width="2" customWidth="1"/>
    <col min="13" max="13" width="18" customWidth="1"/>
  </cols>
  <sheetData>
    <row r="1" spans="1:12" ht="33.950000000000003" customHeight="1" x14ac:dyDescent="0.25">
      <c r="A1" s="31" t="s">
        <v>58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ht="27.95" customHeight="1" x14ac:dyDescent="0.25">
      <c r="A3" s="36" t="s">
        <v>59</v>
      </c>
      <c r="B3" s="32"/>
      <c r="C3" s="32"/>
      <c r="D3" s="9" t="s">
        <v>60</v>
      </c>
      <c r="E3" s="37">
        <f>COUNTIFS(Base_Dados!$B$3:$B$2000,"&gt;="&amp;D4,Base_Dados!$B$3:$B$2000,"&lt;="&amp;D5,Base_Dados!$F$3:$F$2000,D6,Base_Dados!$G$3:$G$2000,D7,Base_Dados!$H$3:$H$2000,D8,Base_Dados!$I$3:$I$2000,D9)</f>
        <v>10</v>
      </c>
      <c r="F3" s="34"/>
      <c r="G3" s="37">
        <f>SUMIFS(Base_Dados!$L$3:$L$2000,Base_Dados!$B$3:$B$2000,"&gt;="&amp;D4,Base_Dados!$B$3:$B$2000,"&lt;="&amp;D5,Base_Dados!$F$3:$F$2000,D6,Base_Dados!$G$3:$G$2000,D7,Base_Dados!$H$3:$H$2000,D8,Base_Dados!$I$3:$I$2000,D9)</f>
        <v>513</v>
      </c>
      <c r="H3" s="34"/>
      <c r="I3" s="33">
        <f>IFERROR(SUMIFS(Base_Dados!$L$3:$L$2000,Base_Dados!$B$3:$B$2000,"&gt;="&amp;D4,Base_Dados!$B$3:$B$2000,"&lt;="&amp;D5,Base_Dados!$F$3:$F$2000,D6,Base_Dados!$G$3:$G$2000,D7,Base_Dados!$H$3:$H$2000,D8,Base_Dados!$I$3:$I$2000,D9)/SUMIFS(Base_Dados!$K$3:$K$2000,Base_Dados!$B$3:$B$2000,"&gt;="&amp;D4,Base_Dados!$B$3:$B$2000,"&lt;="&amp;D5,Base_Dados!$F$3:$F$2000,D6,Base_Dados!$G$3:$G$2000,D7,Base_Dados!$H$3:$H$2000,D8,Base_Dados!$I$3:$I$2000,D9),0)</f>
        <v>0.93272727272727274</v>
      </c>
      <c r="J3" s="34"/>
    </row>
    <row r="4" spans="1:12" ht="27.95" customHeight="1" x14ac:dyDescent="0.25">
      <c r="A4" s="11" t="s">
        <v>61</v>
      </c>
      <c r="B4" s="20">
        <v>46054</v>
      </c>
      <c r="D4" s="9">
        <f>B4</f>
        <v>46054</v>
      </c>
      <c r="E4" s="38" t="s">
        <v>62</v>
      </c>
      <c r="F4" s="34"/>
      <c r="G4" s="38" t="s">
        <v>63</v>
      </c>
      <c r="H4" s="34"/>
      <c r="I4" s="38" t="s">
        <v>64</v>
      </c>
      <c r="J4" s="34"/>
    </row>
    <row r="5" spans="1:12" ht="27.95" customHeight="1" x14ac:dyDescent="0.25">
      <c r="A5" s="11" t="s">
        <v>65</v>
      </c>
      <c r="B5" s="20">
        <v>46081</v>
      </c>
      <c r="D5" s="9">
        <f>B5</f>
        <v>46081</v>
      </c>
      <c r="E5" s="35">
        <f>IFERROR(AVERAGEIFS(Base_Dados!$O$3:$O$2000,Base_Dados!$B$3:$B$2000,"&gt;="&amp;D4,Base_Dados!$B$3:$B$2000,"&lt;="&amp;D5,Base_Dados!$F$3:$F$2000,D6,Base_Dados!$G$3:$G$2000,D7,Base_Dados!$H$3:$H$2000,D8,Base_Dados!$I$3:$I$2000,D9),0)</f>
        <v>0</v>
      </c>
      <c r="F5" s="34"/>
      <c r="G5" s="33">
        <f>IFERROR(AVERAGEIFS(Base_Dados!$U$3:$U$2000,Base_Dados!$B$3:$B$2000,"&gt;="&amp;D4,Base_Dados!$B$3:$B$2000,"&lt;="&amp;D5,Base_Dados!$F$3:$F$2000,D6,Base_Dados!$G$3:$G$2000,D7,Base_Dados!$H$3:$H$2000,D8,Base_Dados!$I$3:$I$2000,D9,Base_Dados!$P$3:$P$2000,D10),0)</f>
        <v>0</v>
      </c>
      <c r="H5" s="34"/>
      <c r="I5" s="33">
        <f>IFERROR(SUMIFS(Base_Dados!$V$3:$V$2000,Base_Dados!$B$3:$B$2000,"&gt;="&amp;D4,Base_Dados!$B$3:$B$2000,"&lt;="&amp;D5,Base_Dados!$F$3:$F$2000,D6,Base_Dados!$G$3:$G$2000,D7,Base_Dados!$H$3:$H$2000,D8,Base_Dados!$I$3:$I$2000,D9,Base_Dados!$P$3:$P$2000,D10)/COUNTIFS(Base_Dados!$B$3:$B$2000,"&gt;="&amp;D4,Base_Dados!$B$3:$B$2000,"&lt;="&amp;D5,Base_Dados!$F$3:$F$2000,D6,Base_Dados!$G$3:$G$2000,D7,Base_Dados!$H$3:$H$2000,D8,Base_Dados!$I$3:$I$2000,D9),0)</f>
        <v>0</v>
      </c>
      <c r="J5" s="34"/>
    </row>
    <row r="6" spans="1:12" ht="27.95" customHeight="1" x14ac:dyDescent="0.25">
      <c r="A6" s="11" t="s">
        <v>5</v>
      </c>
      <c r="B6" s="12" t="s">
        <v>54</v>
      </c>
      <c r="D6" s="9" t="str">
        <f>IF(B6="Todos","*",B6)</f>
        <v>*</v>
      </c>
      <c r="E6" s="38" t="s">
        <v>66</v>
      </c>
      <c r="F6" s="34"/>
      <c r="G6" s="38" t="s">
        <v>67</v>
      </c>
      <c r="H6" s="34"/>
      <c r="I6" s="38" t="s">
        <v>68</v>
      </c>
      <c r="J6" s="34"/>
    </row>
    <row r="7" spans="1:12" x14ac:dyDescent="0.25">
      <c r="A7" s="11" t="s">
        <v>69</v>
      </c>
      <c r="B7" s="12" t="s">
        <v>54</v>
      </c>
      <c r="D7" s="9" t="str">
        <f>IF(B7="Todos","*",B7)</f>
        <v>*</v>
      </c>
    </row>
    <row r="8" spans="1:12" x14ac:dyDescent="0.25">
      <c r="A8" s="11" t="s">
        <v>7</v>
      </c>
      <c r="B8" s="12" t="s">
        <v>54</v>
      </c>
      <c r="D8" s="9" t="str">
        <f>IF(B8="Todos","*",B8)</f>
        <v>*</v>
      </c>
    </row>
    <row r="9" spans="1:12" x14ac:dyDescent="0.25">
      <c r="A9" s="11" t="s">
        <v>8</v>
      </c>
      <c r="B9" s="12" t="s">
        <v>54</v>
      </c>
      <c r="D9" s="9" t="str">
        <f>IF(B9="Todos","*",B9)</f>
        <v>*</v>
      </c>
    </row>
    <row r="10" spans="1:12" x14ac:dyDescent="0.25">
      <c r="A10" s="11" t="s">
        <v>70</v>
      </c>
      <c r="B10" s="12" t="s">
        <v>54</v>
      </c>
      <c r="D10" s="9" t="str">
        <f>IF(B10="Todos","*",B10)</f>
        <v>*</v>
      </c>
    </row>
    <row r="13" spans="1:12" ht="18" customHeight="1" x14ac:dyDescent="0.25">
      <c r="A13" s="36" t="s">
        <v>71</v>
      </c>
      <c r="B13" s="32"/>
      <c r="C13" s="32"/>
    </row>
    <row r="14" spans="1:12" x14ac:dyDescent="0.25">
      <c r="A14" s="13" t="s">
        <v>1</v>
      </c>
      <c r="B14" s="13" t="s">
        <v>62</v>
      </c>
      <c r="C14" s="13" t="s">
        <v>11</v>
      </c>
    </row>
    <row r="15" spans="1:12" x14ac:dyDescent="0.25">
      <c r="A15" s="21">
        <f>$B4+0</f>
        <v>46054</v>
      </c>
      <c r="B15" s="10">
        <f>COUNTIFS(Base_Dados!$B$3:$B$2000,A15,Base_Dados!$F$3:$F$2000,D6,Base_Dados!$G$3:$G$2000,D7,Base_Dados!$H$3:$H$2000,D8,Base_Dados!$I$3:$I$2000,D9)</f>
        <v>0</v>
      </c>
      <c r="C15" s="10">
        <f>SUMIFS(Base_Dados!$L$3:$L$2000,Base_Dados!$B$3:$B$2000,A15,Base_Dados!$F$3:$F$2000,D6,Base_Dados!$G$3:$G$2000,D7,Base_Dados!$H$3:$H$2000,D8,Base_Dados!$I$3:$I$2000,D9)</f>
        <v>0</v>
      </c>
    </row>
    <row r="16" spans="1:12" x14ac:dyDescent="0.25">
      <c r="A16" s="21">
        <f>$B4+1</f>
        <v>46055</v>
      </c>
      <c r="B16" s="10">
        <f>COUNTIFS(Base_Dados!$B$3:$B$2000,A16,Base_Dados!$F$3:$F$2000,D6,Base_Dados!$G$3:$G$2000,D7,Base_Dados!$H$3:$H$2000,D8,Base_Dados!$I$3:$I$2000,D9)</f>
        <v>2</v>
      </c>
      <c r="C16" s="10">
        <f>SUMIFS(Base_Dados!$L$3:$L$2000,Base_Dados!$B$3:$B$2000,A16,Base_Dados!$F$3:$F$2000,D6,Base_Dados!$G$3:$G$2000,D7,Base_Dados!$H$3:$H$2000,D8,Base_Dados!$I$3:$I$2000,D9)</f>
        <v>24</v>
      </c>
    </row>
    <row r="17" spans="1:3" x14ac:dyDescent="0.25">
      <c r="A17" s="21">
        <f>$B4+2</f>
        <v>46056</v>
      </c>
      <c r="B17" s="10">
        <f>COUNTIFS(Base_Dados!$B$3:$B$2000,A17,Base_Dados!$F$3:$F$2000,D6,Base_Dados!$G$3:$G$2000,D7,Base_Dados!$H$3:$H$2000,D8,Base_Dados!$I$3:$I$2000,D9)</f>
        <v>0</v>
      </c>
      <c r="C17" s="10">
        <f>SUMIFS(Base_Dados!$L$3:$L$2000,Base_Dados!$B$3:$B$2000,A17,Base_Dados!$F$3:$F$2000,D6,Base_Dados!$G$3:$G$2000,D7,Base_Dados!$H$3:$H$2000,D8,Base_Dados!$I$3:$I$2000,D9)</f>
        <v>0</v>
      </c>
    </row>
    <row r="18" spans="1:3" x14ac:dyDescent="0.25">
      <c r="A18" s="21">
        <f>$B4+3</f>
        <v>46057</v>
      </c>
      <c r="B18" s="10">
        <f>COUNTIFS(Base_Dados!$B$3:$B$2000,A18,Base_Dados!$F$3:$F$2000,D6,Base_Dados!$G$3:$G$2000,D7,Base_Dados!$H$3:$H$2000,D8,Base_Dados!$I$3:$I$2000,D9)</f>
        <v>0</v>
      </c>
      <c r="C18" s="10">
        <f>SUMIFS(Base_Dados!$L$3:$L$2000,Base_Dados!$B$3:$B$2000,A18,Base_Dados!$F$3:$F$2000,D6,Base_Dados!$G$3:$G$2000,D7,Base_Dados!$H$3:$H$2000,D8,Base_Dados!$I$3:$I$2000,D9)</f>
        <v>0</v>
      </c>
    </row>
    <row r="19" spans="1:3" x14ac:dyDescent="0.25">
      <c r="A19" s="21">
        <f>$B4+4</f>
        <v>46058</v>
      </c>
      <c r="B19" s="10">
        <f>COUNTIFS(Base_Dados!$B$3:$B$2000,A19,Base_Dados!$F$3:$F$2000,D6,Base_Dados!$G$3:$G$2000,D7,Base_Dados!$H$3:$H$2000,D8,Base_Dados!$I$3:$I$2000,D9)</f>
        <v>0</v>
      </c>
      <c r="C19" s="10">
        <f>SUMIFS(Base_Dados!$L$3:$L$2000,Base_Dados!$B$3:$B$2000,A19,Base_Dados!$F$3:$F$2000,D6,Base_Dados!$G$3:$G$2000,D7,Base_Dados!$H$3:$H$2000,D8,Base_Dados!$I$3:$I$2000,D9)</f>
        <v>0</v>
      </c>
    </row>
    <row r="20" spans="1:3" x14ac:dyDescent="0.25">
      <c r="A20" s="21">
        <f>$B4+5</f>
        <v>46059</v>
      </c>
      <c r="B20" s="10">
        <f>COUNTIFS(Base_Dados!$B$3:$B$2000,A20,Base_Dados!$F$3:$F$2000,D6,Base_Dados!$G$3:$G$2000,D7,Base_Dados!$H$3:$H$2000,D8,Base_Dados!$I$3:$I$2000,D9)</f>
        <v>1</v>
      </c>
      <c r="C20" s="10">
        <f>SUMIFS(Base_Dados!$L$3:$L$2000,Base_Dados!$B$3:$B$2000,A20,Base_Dados!$F$3:$F$2000,D6,Base_Dados!$G$3:$G$2000,D7,Base_Dados!$H$3:$H$2000,D8,Base_Dados!$I$3:$I$2000,D9)</f>
        <v>29</v>
      </c>
    </row>
    <row r="21" spans="1:3" x14ac:dyDescent="0.25">
      <c r="A21" s="21">
        <f>$B4+6</f>
        <v>46060</v>
      </c>
      <c r="B21" s="10">
        <f>COUNTIFS(Base_Dados!$B$3:$B$2000,A21,Base_Dados!$F$3:$F$2000,D6,Base_Dados!$G$3:$G$2000,D7,Base_Dados!$H$3:$H$2000,D8,Base_Dados!$I$3:$I$2000,D9)</f>
        <v>0</v>
      </c>
      <c r="C21" s="10">
        <f>SUMIFS(Base_Dados!$L$3:$L$2000,Base_Dados!$B$3:$B$2000,A21,Base_Dados!$F$3:$F$2000,D6,Base_Dados!$G$3:$G$2000,D7,Base_Dados!$H$3:$H$2000,D8,Base_Dados!$I$3:$I$2000,D9)</f>
        <v>0</v>
      </c>
    </row>
    <row r="23" spans="1:3" x14ac:dyDescent="0.25">
      <c r="A23" s="36" t="s">
        <v>72</v>
      </c>
      <c r="B23" s="32"/>
      <c r="C23" s="32"/>
    </row>
    <row r="24" spans="1:3" x14ac:dyDescent="0.25">
      <c r="A24" s="13" t="s">
        <v>73</v>
      </c>
      <c r="B24" s="13" t="s">
        <v>62</v>
      </c>
    </row>
    <row r="25" spans="1:3" x14ac:dyDescent="0.25">
      <c r="A25" s="8" t="s">
        <v>50</v>
      </c>
      <c r="B25" s="14">
        <f>COUNTIFS(Base_Dados!$B$3:$B$2000,"&gt;="&amp;D4,Base_Dados!$B$3:$B$2000,"&lt;="&amp;D5,Base_Dados!$F$3:$F$2000,D6,Base_Dados!$G$3:$G$2000,"Inicial",Base_Dados!$H$3:$H$2000,D8,Base_Dados!$I$3:$I$2000,D9)</f>
        <v>0</v>
      </c>
    </row>
    <row r="26" spans="1:3" x14ac:dyDescent="0.25">
      <c r="A26" s="8" t="s">
        <v>45</v>
      </c>
      <c r="B26" s="14">
        <f>COUNTIFS(Base_Dados!$B$3:$B$2000,"&gt;="&amp;D4,Base_Dados!$B$3:$B$2000,"&lt;="&amp;D5,Base_Dados!$F$3:$F$2000,D6,Base_Dados!$G$3:$G$2000,"Reciclagem",Base_Dados!$H$3:$H$2000,D8,Base_Dados!$I$3:$I$2000,D9)</f>
        <v>3</v>
      </c>
    </row>
    <row r="27" spans="1:3" x14ac:dyDescent="0.25">
      <c r="A27" s="8" t="s">
        <v>42</v>
      </c>
      <c r="B27" s="14">
        <f>COUNTIFS(Base_Dados!$B$3:$B$2000,"&gt;="&amp;D4,Base_Dados!$B$3:$B$2000,"&lt;="&amp;D5,Base_Dados!$F$3:$F$2000,D6,Base_Dados!$G$3:$G$2000,"Atualização",Base_Dados!$H$3:$H$2000,D8,Base_Dados!$I$3:$I$2000,D9)</f>
        <v>0</v>
      </c>
    </row>
    <row r="28" spans="1:3" x14ac:dyDescent="0.25">
      <c r="A28" s="8" t="s">
        <v>43</v>
      </c>
      <c r="B28" s="14">
        <f>COUNTIFS(Base_Dados!$B$3:$B$2000,"&gt;="&amp;D4,Base_Dados!$B$3:$B$2000,"&lt;="&amp;D5,Base_Dados!$F$3:$F$2000,D6,Base_Dados!$G$3:$G$2000,"Produto",Base_Dados!$H$3:$H$2000,D8,Base_Dados!$I$3:$I$2000,D9)</f>
        <v>1</v>
      </c>
    </row>
    <row r="29" spans="1:3" x14ac:dyDescent="0.25">
      <c r="A29" s="8" t="s">
        <v>40</v>
      </c>
      <c r="B29" s="14">
        <f>COUNTIFS(Base_Dados!$B$3:$B$2000,"&gt;="&amp;D4,Base_Dados!$B$3:$B$2000,"&lt;="&amp;D5,Base_Dados!$F$3:$F$2000,D6,Base_Dados!$G$3:$G$2000,"Qualidade",Base_Dados!$H$3:$H$2000,D8,Base_Dados!$I$3:$I$2000,D9)</f>
        <v>0</v>
      </c>
    </row>
    <row r="30" spans="1:3" x14ac:dyDescent="0.25">
      <c r="A30" s="8" t="s">
        <v>51</v>
      </c>
      <c r="B30" s="14">
        <f>COUNTIFS(Base_Dados!$B$3:$B$2000,"&gt;="&amp;D4,Base_Dados!$B$3:$B$2000,"&lt;="&amp;D5,Base_Dados!$F$3:$F$2000,D6,Base_Dados!$G$3:$G$2000,"Comportamental",Base_Dados!$H$3:$H$2000,D8,Base_Dados!$I$3:$I$2000,D9)</f>
        <v>0</v>
      </c>
    </row>
    <row r="31" spans="1:3" x14ac:dyDescent="0.25">
      <c r="A31" s="8" t="s">
        <v>37</v>
      </c>
      <c r="B31" s="14">
        <f>COUNTIFS(Base_Dados!$B$3:$B$2000,"&gt;="&amp;D4,Base_Dados!$B$3:$B$2000,"&lt;="&amp;D5,Base_Dados!$F$3:$F$2000,D6,Base_Dados!$G$3:$G$2000,"Processos",Base_Dados!$H$3:$H$2000,D8,Base_Dados!$I$3:$I$2000,D9)</f>
        <v>0</v>
      </c>
    </row>
    <row r="32" spans="1:3" x14ac:dyDescent="0.25">
      <c r="A32" s="8" t="s">
        <v>48</v>
      </c>
      <c r="B32" s="14">
        <f>COUNTIFS(Base_Dados!$B$3:$B$2000,"&gt;="&amp;D4,Base_Dados!$B$3:$B$2000,"&lt;="&amp;D5,Base_Dados!$F$3:$F$2000,D6,Base_Dados!$G$3:$G$2000,"Tecnologia",Base_Dados!$H$3:$H$2000,D8,Base_Dados!$I$3:$I$2000,D9)</f>
        <v>0</v>
      </c>
    </row>
    <row r="35" spans="1:11" x14ac:dyDescent="0.25">
      <c r="A35" s="39" t="s">
        <v>74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</row>
  </sheetData>
  <mergeCells count="17">
    <mergeCell ref="E6:F6"/>
    <mergeCell ref="I6:J6"/>
    <mergeCell ref="A13:C13"/>
    <mergeCell ref="A35:K35"/>
    <mergeCell ref="A23:C23"/>
    <mergeCell ref="G6:H6"/>
    <mergeCell ref="A1:L1"/>
    <mergeCell ref="G5:H5"/>
    <mergeCell ref="E5:F5"/>
    <mergeCell ref="I5:J5"/>
    <mergeCell ref="A3:C3"/>
    <mergeCell ref="G3:H3"/>
    <mergeCell ref="E3:F3"/>
    <mergeCell ref="I3:J3"/>
    <mergeCell ref="G4:H4"/>
    <mergeCell ref="E4:F4"/>
    <mergeCell ref="I4:J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Dimensoes!$F$3:$F$7</xm:f>
          </x14:formula1>
          <xm:sqref>B10</xm:sqref>
        </x14:dataValidation>
        <x14:dataValidation type="list" allowBlank="1" showInputMessage="1" showErrorMessage="1">
          <x14:formula1>
            <xm:f>Dimensoes!$E$3:$E$5</xm:f>
          </x14:formula1>
          <xm:sqref>B9</xm:sqref>
        </x14:dataValidation>
        <x14:dataValidation type="list" allowBlank="1" showInputMessage="1" showErrorMessage="1">
          <x14:formula1>
            <xm:f>Dimensoes!$D$3:$D$14</xm:f>
          </x14:formula1>
          <xm:sqref>B8</xm:sqref>
        </x14:dataValidation>
        <x14:dataValidation type="list" allowBlank="1" showInputMessage="1" showErrorMessage="1">
          <x14:formula1>
            <xm:f>Dimensoes!$A$3:$A$11</xm:f>
          </x14:formula1>
          <xm:sqref>B6</xm:sqref>
        </x14:dataValidation>
        <x14:dataValidation type="list" allowBlank="1" showInputMessage="1" showErrorMessage="1">
          <x14:formula1>
            <xm:f>Dimensoes!$B$3:$B$11</xm:f>
          </x14:formula1>
          <xm:sqref>B7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GridLines="0" workbookViewId="0">
      <selection activeCell="B4" sqref="B4"/>
    </sheetView>
  </sheetViews>
  <sheetFormatPr defaultRowHeight="15" x14ac:dyDescent="0.25"/>
  <cols>
    <col min="1" max="1" width="28" customWidth="1"/>
    <col min="2" max="2" width="18" customWidth="1"/>
    <col min="3" max="3" width="14" customWidth="1"/>
    <col min="4" max="4" width="13.42578125" bestFit="1" customWidth="1"/>
    <col min="5" max="5" width="16" customWidth="1"/>
    <col min="6" max="6" width="2" customWidth="1"/>
    <col min="7" max="7" width="16" customWidth="1"/>
    <col min="8" max="8" width="2" customWidth="1"/>
    <col min="9" max="9" width="16" customWidth="1"/>
    <col min="10" max="10" width="2" customWidth="1"/>
    <col min="11" max="11" width="18" customWidth="1"/>
    <col min="12" max="12" width="2" customWidth="1"/>
    <col min="13" max="13" width="18" customWidth="1"/>
  </cols>
  <sheetData>
    <row r="1" spans="1:12" ht="33.950000000000003" customHeight="1" x14ac:dyDescent="0.25">
      <c r="A1" s="31" t="s">
        <v>75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ht="27.95" customHeight="1" x14ac:dyDescent="0.25">
      <c r="A3" s="36" t="s">
        <v>59</v>
      </c>
      <c r="B3" s="32"/>
      <c r="C3" s="32"/>
      <c r="D3" s="9" t="s">
        <v>60</v>
      </c>
      <c r="E3" s="40">
        <f>COUNTIFS(Base_Dados!$B$3:$B$2000,"&gt;="&amp;D4,Base_Dados!$B$3:$B$2000,"&lt;="&amp;D5,Base_Dados!$F$3:$F$2000,D6,Base_Dados!$G$3:$G$2000,D7,Base_Dados!$H$3:$H$2000,D8,Base_Dados!$I$3:$I$2000,D9)</f>
        <v>10</v>
      </c>
      <c r="F3" s="34"/>
      <c r="G3" s="40">
        <f>SUMIFS(Base_Dados!$L$3:$L$2000,Base_Dados!$B$3:$B$2000,"&gt;="&amp;D4,Base_Dados!$B$3:$B$2000,"&lt;="&amp;D5,Base_Dados!$F$3:$F$2000,D6,Base_Dados!$G$3:$G$2000,D7,Base_Dados!$H$3:$H$2000,D8,Base_Dados!$I$3:$I$2000,D9)</f>
        <v>513</v>
      </c>
      <c r="H3" s="34"/>
      <c r="I3" s="33">
        <f>IFERROR(SUMIFS(Base_Dados!$L$3:$L$2000,Base_Dados!$B$3:$B$2000,"&gt;="&amp;D4,Base_Dados!$B$3:$B$2000,"&lt;="&amp;D5,Base_Dados!$F$3:$F$2000,D6,Base_Dados!$G$3:$G$2000,D7,Base_Dados!$H$3:$H$2000,D8,Base_Dados!$I$3:$I$2000,D9)/SUMIFS(Base_Dados!$K$3:$K$2000,Base_Dados!$B$3:$B$2000,"&gt;="&amp;D4,Base_Dados!$B$3:$B$2000,"&lt;="&amp;D5,Base_Dados!$F$3:$F$2000,D6,Base_Dados!$G$3:$G$2000,D7,Base_Dados!$H$3:$H$2000,D8,Base_Dados!$I$3:$I$2000,D9),0)</f>
        <v>0.93272727272727274</v>
      </c>
      <c r="J3" s="34"/>
    </row>
    <row r="4" spans="1:12" ht="27.95" customHeight="1" x14ac:dyDescent="0.25">
      <c r="A4" s="11" t="s">
        <v>61</v>
      </c>
      <c r="B4" s="20">
        <v>46054</v>
      </c>
      <c r="D4" s="9">
        <f>B4</f>
        <v>46054</v>
      </c>
      <c r="E4" s="38" t="s">
        <v>62</v>
      </c>
      <c r="F4" s="34"/>
      <c r="G4" s="38" t="s">
        <v>63</v>
      </c>
      <c r="H4" s="34"/>
      <c r="I4" s="38" t="s">
        <v>64</v>
      </c>
      <c r="J4" s="34"/>
    </row>
    <row r="5" spans="1:12" ht="27.95" customHeight="1" x14ac:dyDescent="0.25">
      <c r="A5" s="11" t="s">
        <v>65</v>
      </c>
      <c r="B5" s="20">
        <v>46081</v>
      </c>
      <c r="D5" s="9">
        <f>B5</f>
        <v>46081</v>
      </c>
      <c r="E5" s="35">
        <f>IFERROR(AVERAGEIFS(Base_Dados!$O$3:$O$2000,Base_Dados!$B$3:$B$2000,"&gt;="&amp;D4,Base_Dados!$B$3:$B$2000,"&lt;="&amp;D5,Base_Dados!$F$3:$F$2000,D6,Base_Dados!$G$3:$G$2000,D7,Base_Dados!$H$3:$H$2000,D8,Base_Dados!$I$3:$I$2000,D9),0)</f>
        <v>0</v>
      </c>
      <c r="F5" s="34"/>
      <c r="G5" s="33">
        <f>IFERROR(AVERAGEIFS(Base_Dados!$U$3:$U$2000,Base_Dados!$B$3:$B$2000,"&gt;="&amp;D4,Base_Dados!$B$3:$B$2000,"&lt;="&amp;D5,Base_Dados!$F$3:$F$2000,D6,Base_Dados!$G$3:$G$2000,D7,Base_Dados!$H$3:$H$2000,D8,Base_Dados!$I$3:$I$2000,D9,Base_Dados!$P$3:$P$2000,D10),0)</f>
        <v>0</v>
      </c>
      <c r="H5" s="34"/>
      <c r="I5" s="33">
        <f>IFERROR(SUMIFS(Base_Dados!$V$3:$V$2000,Base_Dados!$B$3:$B$2000,"&gt;="&amp;D4,Base_Dados!$B$3:$B$2000,"&lt;="&amp;D5,Base_Dados!$F$3:$F$2000,D6,Base_Dados!$G$3:$G$2000,D7,Base_Dados!$H$3:$H$2000,D8,Base_Dados!$I$3:$I$2000,D9,Base_Dados!$P$3:$P$2000,D10)/COUNTIFS(Base_Dados!$B$3:$B$2000,"&gt;="&amp;D4,Base_Dados!$B$3:$B$2000,"&lt;="&amp;D5,Base_Dados!$F$3:$F$2000,D6,Base_Dados!$G$3:$G$2000,D7,Base_Dados!$H$3:$H$2000,D8,Base_Dados!$I$3:$I$2000,D9),0)</f>
        <v>0</v>
      </c>
      <c r="J5" s="34"/>
    </row>
    <row r="6" spans="1:12" ht="27.95" customHeight="1" x14ac:dyDescent="0.25">
      <c r="A6" s="11" t="s">
        <v>5</v>
      </c>
      <c r="B6" s="12" t="s">
        <v>54</v>
      </c>
      <c r="D6" s="9" t="str">
        <f>IF(B6="Todos","*",B6)</f>
        <v>*</v>
      </c>
      <c r="E6" s="38" t="s">
        <v>66</v>
      </c>
      <c r="F6" s="34"/>
      <c r="G6" s="38" t="s">
        <v>67</v>
      </c>
      <c r="H6" s="34"/>
      <c r="I6" s="38" t="s">
        <v>68</v>
      </c>
      <c r="J6" s="34"/>
    </row>
    <row r="7" spans="1:12" x14ac:dyDescent="0.25">
      <c r="A7" s="11" t="s">
        <v>69</v>
      </c>
      <c r="B7" s="12" t="s">
        <v>54</v>
      </c>
      <c r="D7" s="9" t="str">
        <f>IF(B7="Todos","*",B7)</f>
        <v>*</v>
      </c>
    </row>
    <row r="8" spans="1:12" x14ac:dyDescent="0.25">
      <c r="A8" s="11" t="s">
        <v>7</v>
      </c>
      <c r="B8" s="12" t="s">
        <v>54</v>
      </c>
      <c r="D8" s="9" t="str">
        <f>IF(B8="Todos","*",B8)</f>
        <v>*</v>
      </c>
    </row>
    <row r="9" spans="1:12" x14ac:dyDescent="0.25">
      <c r="A9" s="11" t="s">
        <v>8</v>
      </c>
      <c r="B9" s="12" t="s">
        <v>54</v>
      </c>
      <c r="D9" s="9" t="str">
        <f>IF(B9="Todos","*",B9)</f>
        <v>*</v>
      </c>
    </row>
    <row r="10" spans="1:12" x14ac:dyDescent="0.25">
      <c r="A10" s="11" t="s">
        <v>70</v>
      </c>
      <c r="B10" s="12" t="s">
        <v>54</v>
      </c>
      <c r="D10" s="9" t="str">
        <f>IF(B10="Todos","*",B10)</f>
        <v>*</v>
      </c>
    </row>
    <row r="12" spans="1:12" x14ac:dyDescent="0.25">
      <c r="A12" s="39" t="s">
        <v>76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</row>
    <row r="13" spans="1:12" x14ac:dyDescent="0.25">
      <c r="A13" s="36" t="s">
        <v>77</v>
      </c>
      <c r="B13" s="32"/>
      <c r="C13" s="32"/>
      <c r="D13" s="32"/>
      <c r="E13" s="32"/>
    </row>
    <row r="14" spans="1:12" x14ac:dyDescent="0.25">
      <c r="A14" s="13" t="s">
        <v>78</v>
      </c>
      <c r="B14" s="13" t="s">
        <v>79</v>
      </c>
      <c r="C14" s="13" t="s">
        <v>80</v>
      </c>
      <c r="D14" s="13" t="s">
        <v>62</v>
      </c>
      <c r="E14" s="13" t="s">
        <v>66</v>
      </c>
    </row>
    <row r="15" spans="1:12" x14ac:dyDescent="0.25">
      <c r="A15" s="8" t="s">
        <v>81</v>
      </c>
      <c r="B15" s="22">
        <f>B4+0</f>
        <v>46054</v>
      </c>
      <c r="C15" s="22">
        <f>B4+6</f>
        <v>46060</v>
      </c>
      <c r="D15" s="14">
        <f>COUNTIFS(Base_Dados!$B$3:$B$2000,"&gt;="&amp;B15,Base_Dados!$B$3:$B$2000,"&lt;="&amp;C15,Base_Dados!$F$3:$F$2000,D6,Base_Dados!$G$3:$G$2000,D7,Base_Dados!$H$3:$H$2000,D8,Base_Dados!$I$3:$I$2000,D9)</f>
        <v>3</v>
      </c>
      <c r="E15" s="23">
        <f>IFERROR(AVERAGEIFS(Base_Dados!$O$3:$O$2000,Base_Dados!$B$3:$B$2000,"&gt;="&amp;B15,Base_Dados!$B$3:$B$2000,"&lt;="&amp;C15,Base_Dados!$F$3:$F$2000,D6,Base_Dados!$G$3:$G$2000,D7,Base_Dados!$H$3:$H$2000,D8,Base_Dados!$I$3:$I$2000,D9),0)</f>
        <v>0</v>
      </c>
    </row>
    <row r="16" spans="1:12" x14ac:dyDescent="0.25">
      <c r="A16" s="8" t="s">
        <v>82</v>
      </c>
      <c r="B16" s="22">
        <f>B4+7</f>
        <v>46061</v>
      </c>
      <c r="C16" s="22">
        <f>B4+13</f>
        <v>46067</v>
      </c>
      <c r="D16" s="14">
        <f>COUNTIFS(Base_Dados!$B$3:$B$2000,"&gt;="&amp;B16,Base_Dados!$B$3:$B$2000,"&lt;="&amp;C16,Base_Dados!$F$3:$F$2000,D6,Base_Dados!$G$3:$G$2000,D7,Base_Dados!$H$3:$H$2000,D8,Base_Dados!$I$3:$I$2000,D9)</f>
        <v>3</v>
      </c>
      <c r="E16" s="23">
        <f>IFERROR(AVERAGEIFS(Base_Dados!$O$3:$O$2000,Base_Dados!$B$3:$B$2000,"&gt;="&amp;B16,Base_Dados!$B$3:$B$2000,"&lt;="&amp;C16,Base_Dados!$F$3:$F$2000,D6,Base_Dados!$G$3:$G$2000,D7,Base_Dados!$H$3:$H$2000,D8,Base_Dados!$I$3:$I$2000,D9),0)</f>
        <v>0</v>
      </c>
    </row>
    <row r="17" spans="1:5" x14ac:dyDescent="0.25">
      <c r="A17" s="8" t="s">
        <v>83</v>
      </c>
      <c r="B17" s="22">
        <f>B4+14</f>
        <v>46068</v>
      </c>
      <c r="C17" s="22">
        <f>B4+20</f>
        <v>46074</v>
      </c>
      <c r="D17" s="14">
        <f>COUNTIFS(Base_Dados!$B$3:$B$2000,"&gt;="&amp;B17,Base_Dados!$B$3:$B$2000,"&lt;="&amp;C17,Base_Dados!$F$3:$F$2000,D6,Base_Dados!$G$3:$G$2000,D7,Base_Dados!$H$3:$H$2000,D8,Base_Dados!$I$3:$I$2000,D9)</f>
        <v>2</v>
      </c>
      <c r="E17" s="23">
        <f>IFERROR(AVERAGEIFS(Base_Dados!$O$3:$O$2000,Base_Dados!$B$3:$B$2000,"&gt;="&amp;B17,Base_Dados!$B$3:$B$2000,"&lt;="&amp;C17,Base_Dados!$F$3:$F$2000,D6,Base_Dados!$G$3:$G$2000,D7,Base_Dados!$H$3:$H$2000,D8,Base_Dados!$I$3:$I$2000,D9),0)</f>
        <v>0</v>
      </c>
    </row>
    <row r="18" spans="1:5" x14ac:dyDescent="0.25">
      <c r="A18" s="8" t="s">
        <v>84</v>
      </c>
      <c r="B18" s="22">
        <f>B4+21</f>
        <v>46075</v>
      </c>
      <c r="C18" s="22">
        <f>B4+27</f>
        <v>46081</v>
      </c>
      <c r="D18" s="14">
        <f>COUNTIFS(Base_Dados!$B$3:$B$2000,"&gt;="&amp;B18,Base_Dados!$B$3:$B$2000,"&lt;="&amp;C18,Base_Dados!$F$3:$F$2000,D6,Base_Dados!$G$3:$G$2000,D7,Base_Dados!$H$3:$H$2000,D8,Base_Dados!$I$3:$I$2000,D9)</f>
        <v>2</v>
      </c>
      <c r="E18" s="23">
        <f>IFERROR(AVERAGEIFS(Base_Dados!$O$3:$O$2000,Base_Dados!$B$3:$B$2000,"&gt;="&amp;B18,Base_Dados!$B$3:$B$2000,"&lt;="&amp;C18,Base_Dados!$F$3:$F$2000,D6,Base_Dados!$G$3:$G$2000,D7,Base_Dados!$H$3:$H$2000,D8,Base_Dados!$I$3:$I$2000,D9),0)</f>
        <v>0</v>
      </c>
    </row>
    <row r="19" spans="1:5" x14ac:dyDescent="0.25">
      <c r="A19" s="8" t="s">
        <v>85</v>
      </c>
      <c r="B19" s="22">
        <f>B4+28</f>
        <v>46082</v>
      </c>
      <c r="C19" s="22">
        <f>B4+34</f>
        <v>46088</v>
      </c>
      <c r="D19" s="14">
        <f>COUNTIFS(Base_Dados!$B$3:$B$2000,"&gt;="&amp;B19,Base_Dados!$B$3:$B$2000,"&lt;="&amp;C19,Base_Dados!$F$3:$F$2000,D6,Base_Dados!$G$3:$G$2000,D7,Base_Dados!$H$3:$H$2000,D8,Base_Dados!$I$3:$I$2000,D9)</f>
        <v>0</v>
      </c>
      <c r="E19" s="23">
        <f>IFERROR(AVERAGEIFS(Base_Dados!$O$3:$O$2000,Base_Dados!$B$3:$B$2000,"&gt;="&amp;B19,Base_Dados!$B$3:$B$2000,"&lt;="&amp;C19,Base_Dados!$F$3:$F$2000,D6,Base_Dados!$G$3:$G$2000,D7,Base_Dados!$H$3:$H$2000,D8,Base_Dados!$I$3:$I$2000,D9),0)</f>
        <v>0</v>
      </c>
    </row>
    <row r="23" spans="1:5" x14ac:dyDescent="0.25">
      <c r="A23" s="36" t="s">
        <v>86</v>
      </c>
      <c r="B23" s="32"/>
      <c r="C23" s="32"/>
    </row>
    <row r="24" spans="1:5" x14ac:dyDescent="0.25">
      <c r="A24" s="13" t="s">
        <v>5</v>
      </c>
      <c r="B24" s="13" t="s">
        <v>62</v>
      </c>
    </row>
    <row r="25" spans="1:5" x14ac:dyDescent="0.25">
      <c r="A25" s="8" t="s">
        <v>39</v>
      </c>
      <c r="B25" s="14">
        <f>COUNTIFS(Base_Dados!$B$3:$B$2000,"&gt;="&amp;D4,Base_Dados!$B$3:$B$2000,"&lt;="&amp;D5,Base_Dados!$F$3:$F$2000,"Claro",Base_Dados!$G$3:$G$2000,D7,Base_Dados!$H$3:$H$2000,D8,Base_Dados!$I$3:$I$2000,D9)</f>
        <v>2</v>
      </c>
    </row>
    <row r="26" spans="1:5" x14ac:dyDescent="0.25">
      <c r="A26" s="8" t="s">
        <v>36</v>
      </c>
      <c r="B26" s="14">
        <f>COUNTIFS(Base_Dados!$B$3:$B$2000,"&gt;="&amp;D4,Base_Dados!$B$3:$B$2000,"&lt;="&amp;D5,Base_Dados!$F$3:$F$2000,"Mercantil",Base_Dados!$G$3:$G$2000,D7,Base_Dados!$H$3:$H$2000,D8,Base_Dados!$I$3:$I$2000,D9)</f>
        <v>2</v>
      </c>
    </row>
    <row r="27" spans="1:5" x14ac:dyDescent="0.25">
      <c r="A27" s="8" t="s">
        <v>52</v>
      </c>
      <c r="B27" s="14">
        <f>COUNTIFS(Base_Dados!$B$3:$B$2000,"&gt;="&amp;D4,Base_Dados!$B$3:$B$2000,"&lt;="&amp;D5,Base_Dados!$F$3:$F$2000,"Agibank",Base_Dados!$G$3:$G$2000,D7,Base_Dados!$H$3:$H$2000,D8,Base_Dados!$I$3:$I$2000,D9)</f>
        <v>3</v>
      </c>
    </row>
    <row r="28" spans="1:5" x14ac:dyDescent="0.25">
      <c r="A28" s="8" t="s">
        <v>41</v>
      </c>
      <c r="B28" s="14">
        <f>COUNTIFS(Base_Dados!$B$3:$B$2000,"&gt;="&amp;D4,Base_Dados!$B$3:$B$2000,"&lt;="&amp;D5,Base_Dados!$F$3:$F$2000,"E-commerce",Base_Dados!$G$3:$G$2000,D7,Base_Dados!$H$3:$H$2000,D8,Base_Dados!$I$3:$I$2000,D9)</f>
        <v>0</v>
      </c>
    </row>
    <row r="29" spans="1:5" x14ac:dyDescent="0.25">
      <c r="A29" s="8" t="s">
        <v>49</v>
      </c>
      <c r="B29" s="14">
        <f>COUNTIFS(Base_Dados!$B$3:$B$2000,"&gt;="&amp;D4,Base_Dados!$B$3:$B$2000,"&lt;="&amp;D5,Base_Dados!$F$3:$F$2000,"Saúde",Base_Dados!$G$3:$G$2000,D7,Base_Dados!$H$3:$H$2000,D8,Base_Dados!$I$3:$I$2000,D9)</f>
        <v>0</v>
      </c>
    </row>
    <row r="30" spans="1:5" x14ac:dyDescent="0.25">
      <c r="A30" s="8" t="s">
        <v>47</v>
      </c>
      <c r="B30" s="14">
        <f>COUNTIFS(Base_Dados!$B$3:$B$2000,"&gt;="&amp;D4,Base_Dados!$B$3:$B$2000,"&lt;="&amp;D5,Base_Dados!$F$3:$F$2000,"Educação",Base_Dados!$G$3:$G$2000,D7,Base_Dados!$H$3:$H$2000,D8,Base_Dados!$I$3:$I$2000,D9)</f>
        <v>0</v>
      </c>
    </row>
    <row r="35" spans="1:11" x14ac:dyDescent="0.25">
      <c r="A35" s="39" t="s">
        <v>87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</row>
  </sheetData>
  <mergeCells count="18">
    <mergeCell ref="A1:L1"/>
    <mergeCell ref="G5:H5"/>
    <mergeCell ref="E5:F5"/>
    <mergeCell ref="I5:J5"/>
    <mergeCell ref="A3:C3"/>
    <mergeCell ref="G3:H3"/>
    <mergeCell ref="E3:F3"/>
    <mergeCell ref="I3:J3"/>
    <mergeCell ref="G4:H4"/>
    <mergeCell ref="E4:F4"/>
    <mergeCell ref="I4:J4"/>
    <mergeCell ref="E6:F6"/>
    <mergeCell ref="I6:J6"/>
    <mergeCell ref="A12:K12"/>
    <mergeCell ref="A35:K35"/>
    <mergeCell ref="A23:C23"/>
    <mergeCell ref="G6:H6"/>
    <mergeCell ref="A13:E1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Dimensoes!$A$3:$A$11</xm:f>
          </x14:formula1>
          <xm:sqref>B6</xm:sqref>
        </x14:dataValidation>
        <x14:dataValidation type="list" allowBlank="1" showInputMessage="1" showErrorMessage="1">
          <x14:formula1>
            <xm:f>Dimensoes!$D$3:$D$14</xm:f>
          </x14:formula1>
          <xm:sqref>B8</xm:sqref>
        </x14:dataValidation>
        <x14:dataValidation type="list" allowBlank="1" showInputMessage="1" showErrorMessage="1">
          <x14:formula1>
            <xm:f>Dimensoes!$E$3:$E$5</xm:f>
          </x14:formula1>
          <xm:sqref>B9</xm:sqref>
        </x14:dataValidation>
        <x14:dataValidation type="list" allowBlank="1" showInputMessage="1" showErrorMessage="1">
          <x14:formula1>
            <xm:f>Dimensoes!$F$3:$F$7</xm:f>
          </x14:formula1>
          <xm:sqref>B10</xm:sqref>
        </x14:dataValidation>
        <x14:dataValidation type="list" allowBlank="1" showInputMessage="1" showErrorMessage="1">
          <x14:formula1>
            <xm:f>Dimensoes!$B$3:$B$11</xm:f>
          </x14:formula1>
          <xm:sqref>B7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showGridLines="0" workbookViewId="0">
      <selection activeCell="G9" sqref="G9"/>
    </sheetView>
  </sheetViews>
  <sheetFormatPr defaultRowHeight="15" x14ac:dyDescent="0.25"/>
  <cols>
    <col min="1" max="1" width="28" customWidth="1"/>
    <col min="2" max="2" width="18" customWidth="1"/>
    <col min="3" max="3" width="14" customWidth="1"/>
    <col min="4" max="4" width="13.42578125" bestFit="1" customWidth="1"/>
    <col min="5" max="5" width="16" customWidth="1"/>
    <col min="6" max="6" width="2" customWidth="1"/>
    <col min="7" max="7" width="16" customWidth="1"/>
    <col min="8" max="8" width="2" customWidth="1"/>
    <col min="9" max="9" width="16" customWidth="1"/>
    <col min="10" max="10" width="2" customWidth="1"/>
    <col min="11" max="11" width="18" customWidth="1"/>
    <col min="12" max="12" width="2" customWidth="1"/>
    <col min="13" max="13" width="18" customWidth="1"/>
  </cols>
  <sheetData>
    <row r="1" spans="1:12" ht="33.950000000000003" customHeight="1" x14ac:dyDescent="0.25">
      <c r="A1" s="31" t="s">
        <v>88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ht="27.95" customHeight="1" x14ac:dyDescent="0.25">
      <c r="A3" s="36" t="s">
        <v>59</v>
      </c>
      <c r="B3" s="32"/>
      <c r="C3" s="32"/>
      <c r="D3" s="9" t="s">
        <v>60</v>
      </c>
      <c r="E3" s="40">
        <f>COUNTIFS(Base_Dados!$B$3:$B$2000,"&gt;="&amp;D4,Base_Dados!$B$3:$B$2000,"&lt;="&amp;D5,Base_Dados!$F$3:$F$2000,D6,Base_Dados!$G$3:$G$2000,D7,Base_Dados!$H$3:$H$2000,D8,Base_Dados!$I$3:$I$2000,D9)</f>
        <v>15</v>
      </c>
      <c r="F3" s="34"/>
      <c r="G3" s="40">
        <f>SUMIFS(Base_Dados!$L$3:$L$2000,Base_Dados!$B$3:$B$2000,"&gt;="&amp;D4,Base_Dados!$B$3:$B$2000,"&lt;="&amp;D5,Base_Dados!$F$3:$F$2000,D6,Base_Dados!$G$3:$G$2000,D7,Base_Dados!$H$3:$H$2000,D8,Base_Dados!$I$3:$I$2000,D9)</f>
        <v>858</v>
      </c>
      <c r="H3" s="34"/>
      <c r="I3" s="33">
        <f>IFERROR(SUMIFS(Base_Dados!$L$3:$L$2000,Base_Dados!$B$3:$B$2000,"&gt;="&amp;D4,Base_Dados!$B$3:$B$2000,"&lt;="&amp;D5,Base_Dados!$F$3:$F$2000,D6,Base_Dados!$G$3:$G$2000,D7,Base_Dados!$H$3:$H$2000,D8,Base_Dados!$I$3:$I$2000,D9)/SUMIFS(Base_Dados!$K$3:$K$2000,Base_Dados!$B$3:$B$2000,"&gt;="&amp;D4,Base_Dados!$B$3:$B$2000,"&lt;="&amp;D5,Base_Dados!$F$3:$F$2000,D6,Base_Dados!$G$3:$G$2000,D7,Base_Dados!$H$3:$H$2000,D8,Base_Dados!$I$3:$I$2000,D9),0)</f>
        <v>0.95865921787709496</v>
      </c>
      <c r="J3" s="34"/>
    </row>
    <row r="4" spans="1:12" ht="27.95" customHeight="1" x14ac:dyDescent="0.25">
      <c r="A4" s="11" t="s">
        <v>61</v>
      </c>
      <c r="B4" s="20">
        <v>46023</v>
      </c>
      <c r="D4" s="9">
        <f>B4</f>
        <v>46023</v>
      </c>
      <c r="E4" s="38" t="s">
        <v>62</v>
      </c>
      <c r="F4" s="34"/>
      <c r="G4" s="38" t="s">
        <v>63</v>
      </c>
      <c r="H4" s="34"/>
      <c r="I4" s="38" t="s">
        <v>64</v>
      </c>
      <c r="J4" s="34"/>
    </row>
    <row r="5" spans="1:12" ht="27.95" customHeight="1" x14ac:dyDescent="0.25">
      <c r="A5" s="11" t="s">
        <v>65</v>
      </c>
      <c r="B5" s="20">
        <v>46387</v>
      </c>
      <c r="D5" s="9">
        <f>B5</f>
        <v>46387</v>
      </c>
      <c r="E5" s="35">
        <f>IFERROR(AVERAGEIFS(Base_Dados!$O$3:$O$2000,Base_Dados!$B$3:$B$2000,"&gt;="&amp;D4,Base_Dados!$B$3:$B$2000,"&lt;="&amp;D5,Base_Dados!$F$3:$F$2000,D6,Base_Dados!$G$3:$G$2000,D7,Base_Dados!$H$3:$H$2000,D8,Base_Dados!$I$3:$I$2000,D9),0)</f>
        <v>0</v>
      </c>
      <c r="F5" s="34"/>
      <c r="G5" s="33">
        <f>IFERROR(AVERAGEIFS(Base_Dados!$U$3:$U$2000,Base_Dados!$B$3:$B$2000,"&gt;="&amp;D4,Base_Dados!$B$3:$B$2000,"&lt;="&amp;D5,Base_Dados!$F$3:$F$2000,D6,Base_Dados!$G$3:$G$2000,D7,Base_Dados!$H$3:$H$2000,D8,Base_Dados!$I$3:$I$2000,D9,Base_Dados!$P$3:$P$2000,D10),0)</f>
        <v>0</v>
      </c>
      <c r="H5" s="34"/>
      <c r="I5" s="33">
        <f>IFERROR(SUMIFS(Base_Dados!$V$3:$V$2000,Base_Dados!$B$3:$B$2000,"&gt;="&amp;D4,Base_Dados!$B$3:$B$2000,"&lt;="&amp;D5,Base_Dados!$F$3:$F$2000,D6,Base_Dados!$G$3:$G$2000,D7,Base_Dados!$H$3:$H$2000,D8,Base_Dados!$I$3:$I$2000,D9,Base_Dados!$P$3:$P$2000,D10)/COUNTIFS(Base_Dados!$B$3:$B$2000,"&gt;="&amp;D4,Base_Dados!$B$3:$B$2000,"&lt;="&amp;D5,Base_Dados!$F$3:$F$2000,D6,Base_Dados!$G$3:$G$2000,D7,Base_Dados!$H$3:$H$2000,D8,Base_Dados!$I$3:$I$2000,D9),0)</f>
        <v>0</v>
      </c>
      <c r="J5" s="34"/>
    </row>
    <row r="6" spans="1:12" ht="27.95" customHeight="1" x14ac:dyDescent="0.25">
      <c r="A6" s="11" t="s">
        <v>5</v>
      </c>
      <c r="B6" s="12" t="s">
        <v>54</v>
      </c>
      <c r="D6" s="9" t="str">
        <f>IF(B6="Todos","*",B6)</f>
        <v>*</v>
      </c>
      <c r="E6" s="38" t="s">
        <v>66</v>
      </c>
      <c r="F6" s="34"/>
      <c r="G6" s="38" t="s">
        <v>67</v>
      </c>
      <c r="H6" s="34"/>
      <c r="I6" s="38" t="s">
        <v>68</v>
      </c>
      <c r="J6" s="34"/>
    </row>
    <row r="7" spans="1:12" x14ac:dyDescent="0.25">
      <c r="A7" s="11" t="s">
        <v>69</v>
      </c>
      <c r="B7" s="12" t="s">
        <v>54</v>
      </c>
      <c r="D7" s="9" t="str">
        <f>IF(B7="Todos","*",B7)</f>
        <v>*</v>
      </c>
    </row>
    <row r="8" spans="1:12" x14ac:dyDescent="0.25">
      <c r="A8" s="11" t="s">
        <v>7</v>
      </c>
      <c r="B8" s="12" t="s">
        <v>54</v>
      </c>
      <c r="D8" s="9" t="str">
        <f>IF(B8="Todos","*",B8)</f>
        <v>*</v>
      </c>
    </row>
    <row r="9" spans="1:12" x14ac:dyDescent="0.25">
      <c r="A9" s="11" t="s">
        <v>8</v>
      </c>
      <c r="B9" s="12" t="s">
        <v>54</v>
      </c>
      <c r="D9" s="9" t="str">
        <f>IF(B9="Todos","*",B9)</f>
        <v>*</v>
      </c>
    </row>
    <row r="10" spans="1:12" x14ac:dyDescent="0.25">
      <c r="A10" s="11" t="s">
        <v>70</v>
      </c>
      <c r="B10" s="12" t="s">
        <v>54</v>
      </c>
      <c r="D10" s="9" t="str">
        <f>IF(B10="Todos","*",B10)</f>
        <v>*</v>
      </c>
    </row>
    <row r="12" spans="1:12" x14ac:dyDescent="0.25">
      <c r="A12" s="15" t="s">
        <v>89</v>
      </c>
      <c r="B12" s="16">
        <v>2026</v>
      </c>
    </row>
    <row r="13" spans="1:12" x14ac:dyDescent="0.25">
      <c r="A13" s="36" t="s">
        <v>90</v>
      </c>
      <c r="B13" s="32"/>
      <c r="C13" s="32"/>
      <c r="D13" s="32"/>
      <c r="E13" s="32"/>
    </row>
    <row r="14" spans="1:12" x14ac:dyDescent="0.25">
      <c r="A14" s="13" t="s">
        <v>3</v>
      </c>
      <c r="B14" s="13" t="s">
        <v>79</v>
      </c>
      <c r="C14" s="13" t="s">
        <v>80</v>
      </c>
      <c r="D14" s="13" t="s">
        <v>62</v>
      </c>
      <c r="E14" s="13" t="s">
        <v>11</v>
      </c>
    </row>
    <row r="15" spans="1:12" x14ac:dyDescent="0.25">
      <c r="A15" s="8" t="s">
        <v>127</v>
      </c>
      <c r="B15" s="22">
        <f>DATE($B$12,1,1)</f>
        <v>46023</v>
      </c>
      <c r="C15" s="22">
        <f t="shared" ref="C15:C26" si="0">EOMONTH(B15,0)</f>
        <v>46053</v>
      </c>
      <c r="D15" s="14">
        <f>COUNTIFS(Base_Dados!$B$3:$B$2000,"&gt;="&amp;B15,Base_Dados!$B$3:$B$2000,"&lt;="&amp;C15,Base_Dados!$F$3:$F$2000,D6,Base_Dados!$G$3:$G$2000,D7,Base_Dados!$H$3:$H$2000,D8,Base_Dados!$I$3:$I$2000,D9)</f>
        <v>4</v>
      </c>
      <c r="E15" s="14">
        <f>SUMIFS(Base_Dados!$L$3:$L$2000,Base_Dados!$B$3:$B$2000,"&gt;="&amp;B15,Base_Dados!$B$3:$B$2000,"&lt;="&amp;C15,Base_Dados!$F$3:$F$2000,D6,Base_Dados!$G$3:$G$2000,D7,Base_Dados!$H$3:$H$2000,D8,Base_Dados!$I$3:$I$2000,D9)</f>
        <v>335</v>
      </c>
    </row>
    <row r="16" spans="1:12" x14ac:dyDescent="0.25">
      <c r="A16" s="8" t="s">
        <v>128</v>
      </c>
      <c r="B16" s="22">
        <f>DATE($B$12,2,1)</f>
        <v>46054</v>
      </c>
      <c r="C16" s="22">
        <f t="shared" si="0"/>
        <v>46081</v>
      </c>
      <c r="D16" s="14">
        <f>COUNTIFS(Base_Dados!$B$3:$B$2000,"&gt;="&amp;B16,Base_Dados!$B$3:$B$2000,"&lt;="&amp;C16,Base_Dados!$F$3:$F$2000,D6,Base_Dados!$G$3:$G$2000,D7,Base_Dados!$H$3:$H$2000,D8,Base_Dados!$I$3:$I$2000,D9)</f>
        <v>10</v>
      </c>
      <c r="E16" s="14">
        <f>SUMIFS(Base_Dados!$L$3:$L$2000,Base_Dados!$B$3:$B$2000,"&gt;="&amp;B16,Base_Dados!$B$3:$B$2000,"&lt;="&amp;C16,Base_Dados!$F$3:$F$2000,D6,Base_Dados!$G$3:$G$2000,D7,Base_Dados!$H$3:$H$2000,D8,Base_Dados!$I$3:$I$2000,D9)</f>
        <v>513</v>
      </c>
    </row>
    <row r="17" spans="1:11" x14ac:dyDescent="0.25">
      <c r="A17" s="8" t="s">
        <v>129</v>
      </c>
      <c r="B17" s="22">
        <f>DATE($B$12,3,1)</f>
        <v>46082</v>
      </c>
      <c r="C17" s="22">
        <f t="shared" si="0"/>
        <v>46112</v>
      </c>
      <c r="D17" s="14">
        <f>COUNTIFS(Base_Dados!$B$3:$B$2000,"&gt;="&amp;B17,Base_Dados!$B$3:$B$2000,"&lt;="&amp;C17,Base_Dados!$F$3:$F$2000,D6,Base_Dados!$G$3:$G$2000,D7,Base_Dados!$H$3:$H$2000,D8,Base_Dados!$I$3:$I$2000,D9)</f>
        <v>1</v>
      </c>
      <c r="E17" s="14">
        <f>SUMIFS(Base_Dados!$L$3:$L$2000,Base_Dados!$B$3:$B$2000,"&gt;="&amp;B17,Base_Dados!$B$3:$B$2000,"&lt;="&amp;C17,Base_Dados!$F$3:$F$2000,D6,Base_Dados!$G$3:$G$2000,D7,Base_Dados!$H$3:$H$2000,D8,Base_Dados!$I$3:$I$2000,D9)</f>
        <v>10</v>
      </c>
    </row>
    <row r="18" spans="1:11" x14ac:dyDescent="0.25">
      <c r="A18" s="8" t="s">
        <v>130</v>
      </c>
      <c r="B18" s="22">
        <f>DATE($B$12,4,1)</f>
        <v>46113</v>
      </c>
      <c r="C18" s="22">
        <f t="shared" si="0"/>
        <v>46142</v>
      </c>
      <c r="D18" s="14">
        <f>COUNTIFS(Base_Dados!$B$3:$B$2000,"&gt;="&amp;B18,Base_Dados!$B$3:$B$2000,"&lt;="&amp;C18,Base_Dados!$F$3:$F$2000,D6,Base_Dados!$G$3:$G$2000,D7,Base_Dados!$H$3:$H$2000,D8,Base_Dados!$I$3:$I$2000,D9)</f>
        <v>0</v>
      </c>
      <c r="E18" s="14">
        <f>SUMIFS(Base_Dados!$L$3:$L$2000,Base_Dados!$B$3:$B$2000,"&gt;="&amp;B18,Base_Dados!$B$3:$B$2000,"&lt;="&amp;C18,Base_Dados!$F$3:$F$2000,D6,Base_Dados!$G$3:$G$2000,D7,Base_Dados!$H$3:$H$2000,D8,Base_Dados!$I$3:$I$2000,D9)</f>
        <v>0</v>
      </c>
    </row>
    <row r="19" spans="1:11" x14ac:dyDescent="0.25">
      <c r="A19" s="8" t="s">
        <v>131</v>
      </c>
      <c r="B19" s="22">
        <f>DATE($B$12,5,1)</f>
        <v>46143</v>
      </c>
      <c r="C19" s="22">
        <f t="shared" si="0"/>
        <v>46173</v>
      </c>
      <c r="D19" s="14">
        <f>COUNTIFS(Base_Dados!$B$3:$B$2000,"&gt;="&amp;B19,Base_Dados!$B$3:$B$2000,"&lt;="&amp;C19,Base_Dados!$F$3:$F$2000,D6,Base_Dados!$G$3:$G$2000,D7,Base_Dados!$H$3:$H$2000,D8,Base_Dados!$I$3:$I$2000,D9)</f>
        <v>0</v>
      </c>
      <c r="E19" s="14">
        <f>SUMIFS(Base_Dados!$L$3:$L$2000,Base_Dados!$B$3:$B$2000,"&gt;="&amp;B19,Base_Dados!$B$3:$B$2000,"&lt;="&amp;C19,Base_Dados!$F$3:$F$2000,D6,Base_Dados!$G$3:$G$2000,D7,Base_Dados!$H$3:$H$2000,D8,Base_Dados!$I$3:$I$2000,D9)</f>
        <v>0</v>
      </c>
    </row>
    <row r="20" spans="1:11" x14ac:dyDescent="0.25">
      <c r="A20" s="8" t="s">
        <v>132</v>
      </c>
      <c r="B20" s="22">
        <f>DATE($B$12,6,1)</f>
        <v>46174</v>
      </c>
      <c r="C20" s="22">
        <f t="shared" si="0"/>
        <v>46203</v>
      </c>
      <c r="D20" s="14">
        <f>COUNTIFS(Base_Dados!$B$3:$B$2000,"&gt;="&amp;B20,Base_Dados!$B$3:$B$2000,"&lt;="&amp;C20,Base_Dados!$F$3:$F$2000,D6,Base_Dados!$G$3:$G$2000,D7,Base_Dados!$H$3:$H$2000,D8,Base_Dados!$I$3:$I$2000,D9)</f>
        <v>0</v>
      </c>
      <c r="E20" s="14">
        <f>SUMIFS(Base_Dados!$L$3:$L$2000,Base_Dados!$B$3:$B$2000,"&gt;="&amp;B20,Base_Dados!$B$3:$B$2000,"&lt;="&amp;C20,Base_Dados!$F$3:$F$2000,D6,Base_Dados!$G$3:$G$2000,D7,Base_Dados!$H$3:$H$2000,D8,Base_Dados!$I$3:$I$2000,D9)</f>
        <v>0</v>
      </c>
    </row>
    <row r="21" spans="1:11" x14ac:dyDescent="0.25">
      <c r="A21" s="8" t="s">
        <v>133</v>
      </c>
      <c r="B21" s="22">
        <f>DATE($B$12,7,1)</f>
        <v>46204</v>
      </c>
      <c r="C21" s="22">
        <f t="shared" si="0"/>
        <v>46234</v>
      </c>
      <c r="D21" s="14">
        <f>COUNTIFS(Base_Dados!$B$3:$B$2000,"&gt;="&amp;B21,Base_Dados!$B$3:$B$2000,"&lt;="&amp;C21,Base_Dados!$F$3:$F$2000,D6,Base_Dados!$G$3:$G$2000,D7,Base_Dados!$H$3:$H$2000,D8,Base_Dados!$I$3:$I$2000,D9)</f>
        <v>0</v>
      </c>
      <c r="E21" s="14">
        <f>SUMIFS(Base_Dados!$L$3:$L$2000,Base_Dados!$B$3:$B$2000,"&gt;="&amp;B21,Base_Dados!$B$3:$B$2000,"&lt;="&amp;C21,Base_Dados!$F$3:$F$2000,D6,Base_Dados!$G$3:$G$2000,D7,Base_Dados!$H$3:$H$2000,D8,Base_Dados!$I$3:$I$2000,D9)</f>
        <v>0</v>
      </c>
    </row>
    <row r="22" spans="1:11" x14ac:dyDescent="0.25">
      <c r="A22" s="8" t="s">
        <v>134</v>
      </c>
      <c r="B22" s="22">
        <f>DATE($B$12,8,1)</f>
        <v>46235</v>
      </c>
      <c r="C22" s="22">
        <f t="shared" si="0"/>
        <v>46265</v>
      </c>
      <c r="D22" s="14">
        <f>COUNTIFS(Base_Dados!$B$3:$B$2000,"&gt;="&amp;B22,Base_Dados!$B$3:$B$2000,"&lt;="&amp;C22,Base_Dados!$F$3:$F$2000,D6,Base_Dados!$G$3:$G$2000,D7,Base_Dados!$H$3:$H$2000,D8,Base_Dados!$I$3:$I$2000,D9)</f>
        <v>0</v>
      </c>
      <c r="E22" s="14">
        <f>SUMIFS(Base_Dados!$L$3:$L$2000,Base_Dados!$B$3:$B$2000,"&gt;="&amp;B22,Base_Dados!$B$3:$B$2000,"&lt;="&amp;C22,Base_Dados!$F$3:$F$2000,D6,Base_Dados!$G$3:$G$2000,D7,Base_Dados!$H$3:$H$2000,D8,Base_Dados!$I$3:$I$2000,D9)</f>
        <v>0</v>
      </c>
    </row>
    <row r="23" spans="1:11" x14ac:dyDescent="0.25">
      <c r="A23" s="8" t="s">
        <v>135</v>
      </c>
      <c r="B23" s="22">
        <f>DATE($B$12,9,1)</f>
        <v>46266</v>
      </c>
      <c r="C23" s="22">
        <f t="shared" si="0"/>
        <v>46295</v>
      </c>
      <c r="D23" s="14">
        <f>COUNTIFS(Base_Dados!$B$3:$B$2000,"&gt;="&amp;B23,Base_Dados!$B$3:$B$2000,"&lt;="&amp;C23,Base_Dados!$F$3:$F$2000,D6,Base_Dados!$G$3:$G$2000,D7,Base_Dados!$H$3:$H$2000,D8,Base_Dados!$I$3:$I$2000,D9)</f>
        <v>0</v>
      </c>
      <c r="E23" s="14">
        <f>SUMIFS(Base_Dados!$L$3:$L$2000,Base_Dados!$B$3:$B$2000,"&gt;="&amp;B23,Base_Dados!$B$3:$B$2000,"&lt;="&amp;C23,Base_Dados!$F$3:$F$2000,D6,Base_Dados!$G$3:$G$2000,D7,Base_Dados!$H$3:$H$2000,D8,Base_Dados!$I$3:$I$2000,D9)</f>
        <v>0</v>
      </c>
    </row>
    <row r="24" spans="1:11" x14ac:dyDescent="0.25">
      <c r="A24" s="8" t="s">
        <v>136</v>
      </c>
      <c r="B24" s="22">
        <f>DATE($B$12,10,1)</f>
        <v>46296</v>
      </c>
      <c r="C24" s="22">
        <f t="shared" si="0"/>
        <v>46326</v>
      </c>
      <c r="D24" s="14">
        <f>COUNTIFS(Base_Dados!$B$3:$B$2000,"&gt;="&amp;B24,Base_Dados!$B$3:$B$2000,"&lt;="&amp;C24,Base_Dados!$F$3:$F$2000,D6,Base_Dados!$G$3:$G$2000,D7,Base_Dados!$H$3:$H$2000,D8,Base_Dados!$I$3:$I$2000,D9)</f>
        <v>0</v>
      </c>
      <c r="E24" s="14">
        <f>SUMIFS(Base_Dados!$L$3:$L$2000,Base_Dados!$B$3:$B$2000,"&gt;="&amp;B24,Base_Dados!$B$3:$B$2000,"&lt;="&amp;C24,Base_Dados!$F$3:$F$2000,D6,Base_Dados!$G$3:$G$2000,D7,Base_Dados!$H$3:$H$2000,D8,Base_Dados!$I$3:$I$2000,D9)</f>
        <v>0</v>
      </c>
    </row>
    <row r="25" spans="1:11" x14ac:dyDescent="0.25">
      <c r="A25" s="8" t="s">
        <v>137</v>
      </c>
      <c r="B25" s="22">
        <f>DATE($B$12,11,1)</f>
        <v>46327</v>
      </c>
      <c r="C25" s="22">
        <f t="shared" si="0"/>
        <v>46356</v>
      </c>
      <c r="D25" s="14">
        <f>COUNTIFS(Base_Dados!$B$3:$B$2000,"&gt;="&amp;B25,Base_Dados!$B$3:$B$2000,"&lt;="&amp;C25,Base_Dados!$F$3:$F$2000,D6,Base_Dados!$G$3:$G$2000,D7,Base_Dados!$H$3:$H$2000,D8,Base_Dados!$I$3:$I$2000,D9)</f>
        <v>0</v>
      </c>
      <c r="E25" s="14">
        <f>SUMIFS(Base_Dados!$L$3:$L$2000,Base_Dados!$B$3:$B$2000,"&gt;="&amp;B25,Base_Dados!$B$3:$B$2000,"&lt;="&amp;C25,Base_Dados!$F$3:$F$2000,D6,Base_Dados!$G$3:$G$2000,D7,Base_Dados!$H$3:$H$2000,D8,Base_Dados!$I$3:$I$2000,D9)</f>
        <v>0</v>
      </c>
    </row>
    <row r="26" spans="1:11" x14ac:dyDescent="0.25">
      <c r="A26" s="8" t="s">
        <v>138</v>
      </c>
      <c r="B26" s="22">
        <f>DATE($B$12,12,1)</f>
        <v>46357</v>
      </c>
      <c r="C26" s="22">
        <f t="shared" si="0"/>
        <v>46387</v>
      </c>
      <c r="D26" s="14">
        <f>COUNTIFS(Base_Dados!$B$3:$B$2000,"&gt;="&amp;B26,Base_Dados!$B$3:$B$2000,"&lt;="&amp;C26,Base_Dados!$F$3:$F$2000,D6,Base_Dados!$G$3:$G$2000,D7,Base_Dados!$H$3:$H$2000,D8,Base_Dados!$I$3:$I$2000,D9)</f>
        <v>0</v>
      </c>
      <c r="E26" s="14">
        <f>SUMIFS(Base_Dados!$L$3:$L$2000,Base_Dados!$B$3:$B$2000,"&gt;="&amp;B26,Base_Dados!$B$3:$B$2000,"&lt;="&amp;C26,Base_Dados!$F$3:$F$2000,D6,Base_Dados!$G$3:$G$2000,D7,Base_Dados!$H$3:$H$2000,D8,Base_Dados!$I$3:$I$2000,D9)</f>
        <v>0</v>
      </c>
    </row>
    <row r="28" spans="1:11" x14ac:dyDescent="0.25">
      <c r="A28" s="39" t="s">
        <v>91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</row>
  </sheetData>
  <mergeCells count="16">
    <mergeCell ref="A28:K28"/>
    <mergeCell ref="G6:H6"/>
    <mergeCell ref="A13:E13"/>
    <mergeCell ref="G3:H3"/>
    <mergeCell ref="E3:F3"/>
    <mergeCell ref="I3:J3"/>
    <mergeCell ref="E6:F6"/>
    <mergeCell ref="I6:J6"/>
    <mergeCell ref="A1:L1"/>
    <mergeCell ref="G5:H5"/>
    <mergeCell ref="E5:F5"/>
    <mergeCell ref="I5:J5"/>
    <mergeCell ref="A3:C3"/>
    <mergeCell ref="G4:H4"/>
    <mergeCell ref="E4:F4"/>
    <mergeCell ref="I4:J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Dimensoes!$F$3:$F$7</xm:f>
          </x14:formula1>
          <xm:sqref>B10</xm:sqref>
        </x14:dataValidation>
        <x14:dataValidation type="list" allowBlank="1" showInputMessage="1" showErrorMessage="1">
          <x14:formula1>
            <xm:f>Dimensoes!$E$3:$E$5</xm:f>
          </x14:formula1>
          <xm:sqref>B9</xm:sqref>
        </x14:dataValidation>
        <x14:dataValidation type="list" allowBlank="1" showInputMessage="1" showErrorMessage="1">
          <x14:formula1>
            <xm:f>Dimensoes!$D$3:$D$14</xm:f>
          </x14:formula1>
          <xm:sqref>B8</xm:sqref>
        </x14:dataValidation>
        <x14:dataValidation type="list" allowBlank="1" showInputMessage="1" showErrorMessage="1">
          <x14:formula1>
            <xm:f>Dimensoes!$A$3:$A$11</xm:f>
          </x14:formula1>
          <xm:sqref>B6</xm:sqref>
        </x14:dataValidation>
        <x14:dataValidation type="list" allowBlank="1" showInputMessage="1" showErrorMessage="1">
          <x14:formula1>
            <xm:f>Dimensoes!$G$3:$G$7</xm:f>
          </x14:formula1>
          <xm:sqref>B12</xm:sqref>
        </x14:dataValidation>
        <x14:dataValidation type="list" allowBlank="1" showInputMessage="1" showErrorMessage="1">
          <x14:formula1>
            <xm:f>Dimensoes!$B$3:$B$11</xm:f>
          </x14:formula1>
          <xm:sqref>B7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showGridLines="0" workbookViewId="0">
      <selection activeCell="B6" sqref="B6"/>
    </sheetView>
  </sheetViews>
  <sheetFormatPr defaultRowHeight="15" x14ac:dyDescent="0.25"/>
  <cols>
    <col min="1" max="1" width="28" customWidth="1"/>
    <col min="2" max="8" width="16" customWidth="1"/>
  </cols>
  <sheetData>
    <row r="1" spans="1:12" ht="33.950000000000003" customHeight="1" x14ac:dyDescent="0.25">
      <c r="A1" s="31" t="s">
        <v>92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ht="20.100000000000001" customHeight="1" x14ac:dyDescent="0.25">
      <c r="A3" s="36" t="s">
        <v>59</v>
      </c>
      <c r="B3" s="32"/>
      <c r="C3" s="32"/>
      <c r="D3" s="9" t="s">
        <v>60</v>
      </c>
    </row>
    <row r="4" spans="1:12" x14ac:dyDescent="0.25">
      <c r="A4" s="11" t="s">
        <v>61</v>
      </c>
      <c r="B4" s="20">
        <v>46054</v>
      </c>
      <c r="D4" s="9">
        <f>B4</f>
        <v>46054</v>
      </c>
    </row>
    <row r="5" spans="1:12" x14ac:dyDescent="0.25">
      <c r="A5" s="11" t="s">
        <v>65</v>
      </c>
      <c r="B5" s="20">
        <v>46081</v>
      </c>
      <c r="D5" s="9">
        <f>B5</f>
        <v>46081</v>
      </c>
    </row>
    <row r="6" spans="1:12" x14ac:dyDescent="0.25">
      <c r="A6" s="11" t="s">
        <v>5</v>
      </c>
      <c r="B6" s="12" t="s">
        <v>54</v>
      </c>
      <c r="D6" s="9" t="str">
        <f>IF(B6="Todos","*",B6)</f>
        <v>*</v>
      </c>
    </row>
    <row r="7" spans="1:12" x14ac:dyDescent="0.25">
      <c r="A7" s="11" t="s">
        <v>69</v>
      </c>
      <c r="B7" s="12" t="s">
        <v>54</v>
      </c>
      <c r="D7" s="9" t="str">
        <f>IF(B7="Todos","*",B7)</f>
        <v>*</v>
      </c>
    </row>
    <row r="8" spans="1:12" x14ac:dyDescent="0.25">
      <c r="A8" s="11" t="s">
        <v>7</v>
      </c>
      <c r="B8" s="12" t="s">
        <v>54</v>
      </c>
      <c r="D8" s="9" t="str">
        <f>IF(B8="Todos","*",B8)</f>
        <v>*</v>
      </c>
    </row>
    <row r="9" spans="1:12" x14ac:dyDescent="0.25">
      <c r="A9" s="11" t="s">
        <v>8</v>
      </c>
      <c r="B9" s="12" t="s">
        <v>54</v>
      </c>
      <c r="D9" s="9" t="str">
        <f>IF(B9="Todos","*",B9)</f>
        <v>*</v>
      </c>
    </row>
    <row r="10" spans="1:12" x14ac:dyDescent="0.25">
      <c r="A10" s="11" t="s">
        <v>70</v>
      </c>
      <c r="B10" s="12" t="s">
        <v>54</v>
      </c>
      <c r="D10" s="9" t="str">
        <f>IF(B10="Todos","*",B10)</f>
        <v>*</v>
      </c>
    </row>
    <row r="12" spans="1:12" x14ac:dyDescent="0.25">
      <c r="A12" s="36" t="s">
        <v>93</v>
      </c>
      <c r="B12" s="32"/>
      <c r="C12" s="32"/>
      <c r="D12" s="32"/>
      <c r="E12" s="32"/>
    </row>
    <row r="13" spans="1:12" x14ac:dyDescent="0.25">
      <c r="A13" s="13" t="s">
        <v>69</v>
      </c>
      <c r="B13" s="13" t="s">
        <v>62</v>
      </c>
      <c r="C13" s="13" t="s">
        <v>94</v>
      </c>
      <c r="D13" s="13" t="s">
        <v>95</v>
      </c>
      <c r="E13" s="13" t="s">
        <v>66</v>
      </c>
    </row>
    <row r="14" spans="1:12" x14ac:dyDescent="0.25">
      <c r="A14" s="8" t="s">
        <v>50</v>
      </c>
      <c r="B14" s="14">
        <f>COUNTIFS(Base_Dados!$B$3:$B$2000,"&gt;="&amp;D4,Base_Dados!$B$3:$B$2000,"&lt;="&amp;D5,Base_Dados!$F$3:$F$2000,D6,Base_Dados!$G$3:$G$2000,"Inicial",Base_Dados!$H$3:$H$2000,D8,Base_Dados!$I$3:$I$2000,D9,Base_Dados!$P$3:$P$2000,D10)</f>
        <v>0</v>
      </c>
      <c r="C14" s="24">
        <f>IFERROR(SUMIFS(Base_Dados!$V$3:$V$2000,Base_Dados!$B$3:$B$2000,"&gt;="&amp;D4,Base_Dados!$B$3:$B$2000,"&lt;="&amp;D5,Base_Dados!$F$3:$F$2000,D6,Base_Dados!$G$3:$G$2000,"Inicial",Base_Dados!$H$3:$H$2000,D8,Base_Dados!$I$3:$I$2000,D9,Base_Dados!$P$3:$P$2000,D10)/COUNTIFS(Base_Dados!$B$3:$B$2000,"&gt;="&amp;D4,Base_Dados!$B$3:$B$2000,"&lt;="&amp;D5,Base_Dados!$F$3:$F$2000,D6,Base_Dados!$G$3:$G$2000,"Inicial",Base_Dados!$H$3:$H$2000,D8,Base_Dados!$I$3:$I$2000,D9,Base_Dados!$P$3:$P$2000,D10),0)</f>
        <v>0</v>
      </c>
      <c r="D14" s="24">
        <f>IFERROR(AVERAGEIFS(Base_Dados!$U$3:$U$2000,Base_Dados!$B$3:$B$2000,"&gt;="&amp;D4,Base_Dados!$B$3:$B$2000,"&lt;="&amp;D5,Base_Dados!$F$3:$F$2000,D6,Base_Dados!$G$3:$G$2000,"Inicial",Base_Dados!$H$3:$H$2000,D8,Base_Dados!$I$3:$I$2000,D9,Base_Dados!$P$3:$P$2000,D10),0)</f>
        <v>0</v>
      </c>
      <c r="E14" s="23">
        <f>IFERROR(AVERAGEIFS(Base_Dados!$O$3:$O$2000,Base_Dados!$B$3:$B$2000,"&gt;="&amp;D4,Base_Dados!$B$3:$B$2000,"&lt;="&amp;D5,Base_Dados!$F$3:$F$2000,D6,Base_Dados!$G$3:$G$2000,"Inicial",Base_Dados!$H$3:$H$2000,D8,Base_Dados!$I$3:$I$2000,D9),0)</f>
        <v>0</v>
      </c>
    </row>
    <row r="15" spans="1:12" x14ac:dyDescent="0.25">
      <c r="A15" s="8" t="s">
        <v>45</v>
      </c>
      <c r="B15" s="14">
        <f>COUNTIFS(Base_Dados!$B$3:$B$2000,"&gt;="&amp;D4,Base_Dados!$B$3:$B$2000,"&lt;="&amp;D5,Base_Dados!$F$3:$F$2000,D6,Base_Dados!$G$3:$G$2000,"Reciclagem",Base_Dados!$H$3:$H$2000,D8,Base_Dados!$I$3:$I$2000,D9,Base_Dados!$P$3:$P$2000,D10)</f>
        <v>0</v>
      </c>
      <c r="C15" s="24">
        <f>IFERROR(SUMIFS(Base_Dados!$V$3:$V$2000,Base_Dados!$B$3:$B$2000,"&gt;="&amp;D4,Base_Dados!$B$3:$B$2000,"&lt;="&amp;D5,Base_Dados!$F$3:$F$2000,D6,Base_Dados!$G$3:$G$2000,"Reciclagem",Base_Dados!$H$3:$H$2000,D8,Base_Dados!$I$3:$I$2000,D9,Base_Dados!$P$3:$P$2000,D10)/COUNTIFS(Base_Dados!$B$3:$B$2000,"&gt;="&amp;D4,Base_Dados!$B$3:$B$2000,"&lt;="&amp;D5,Base_Dados!$F$3:$F$2000,D6,Base_Dados!$G$3:$G$2000,"Reciclagem",Base_Dados!$H$3:$H$2000,D8,Base_Dados!$I$3:$I$2000,D9,Base_Dados!$P$3:$P$2000,D10),0)</f>
        <v>0</v>
      </c>
      <c r="D15" s="24">
        <f>IFERROR(AVERAGEIFS(Base_Dados!$U$3:$U$2000,Base_Dados!$B$3:$B$2000,"&gt;="&amp;D4,Base_Dados!$B$3:$B$2000,"&lt;="&amp;D5,Base_Dados!$F$3:$F$2000,D6,Base_Dados!$G$3:$G$2000,"Reciclagem",Base_Dados!$H$3:$H$2000,D8,Base_Dados!$I$3:$I$2000,D9,Base_Dados!$P$3:$P$2000,D10),0)</f>
        <v>0</v>
      </c>
      <c r="E15" s="23">
        <f>IFERROR(AVERAGEIFS(Base_Dados!$O$3:$O$2000,Base_Dados!$B$3:$B$2000,"&gt;="&amp;D4,Base_Dados!$B$3:$B$2000,"&lt;="&amp;D5,Base_Dados!$F$3:$F$2000,D6,Base_Dados!$G$3:$G$2000,"Reciclagem",Base_Dados!$H$3:$H$2000,D8,Base_Dados!$I$3:$I$2000,D9),0)</f>
        <v>0</v>
      </c>
    </row>
    <row r="16" spans="1:12" x14ac:dyDescent="0.25">
      <c r="A16" s="8" t="s">
        <v>42</v>
      </c>
      <c r="B16" s="14">
        <f>COUNTIFS(Base_Dados!$B$3:$B$2000,"&gt;="&amp;D4,Base_Dados!$B$3:$B$2000,"&lt;="&amp;D5,Base_Dados!$F$3:$F$2000,D6,Base_Dados!$G$3:$G$2000,"Atualização",Base_Dados!$H$3:$H$2000,D8,Base_Dados!$I$3:$I$2000,D9,Base_Dados!$P$3:$P$2000,D10)</f>
        <v>0</v>
      </c>
      <c r="C16" s="24">
        <f>IFERROR(SUMIFS(Base_Dados!$V$3:$V$2000,Base_Dados!$B$3:$B$2000,"&gt;="&amp;D4,Base_Dados!$B$3:$B$2000,"&lt;="&amp;D5,Base_Dados!$F$3:$F$2000,D6,Base_Dados!$G$3:$G$2000,"Atualização",Base_Dados!$H$3:$H$2000,D8,Base_Dados!$I$3:$I$2000,D9,Base_Dados!$P$3:$P$2000,D10)/COUNTIFS(Base_Dados!$B$3:$B$2000,"&gt;="&amp;D4,Base_Dados!$B$3:$B$2000,"&lt;="&amp;D5,Base_Dados!$F$3:$F$2000,D6,Base_Dados!$G$3:$G$2000,"Atualização",Base_Dados!$H$3:$H$2000,D8,Base_Dados!$I$3:$I$2000,D9,Base_Dados!$P$3:$P$2000,D10),0)</f>
        <v>0</v>
      </c>
      <c r="D16" s="24">
        <f>IFERROR(AVERAGEIFS(Base_Dados!$U$3:$U$2000,Base_Dados!$B$3:$B$2000,"&gt;="&amp;D4,Base_Dados!$B$3:$B$2000,"&lt;="&amp;D5,Base_Dados!$F$3:$F$2000,D6,Base_Dados!$G$3:$G$2000,"Atualização",Base_Dados!$H$3:$H$2000,D8,Base_Dados!$I$3:$I$2000,D9,Base_Dados!$P$3:$P$2000,D10),0)</f>
        <v>0</v>
      </c>
      <c r="E16" s="23">
        <f>IFERROR(AVERAGEIFS(Base_Dados!$O$3:$O$2000,Base_Dados!$B$3:$B$2000,"&gt;="&amp;D4,Base_Dados!$B$3:$B$2000,"&lt;="&amp;D5,Base_Dados!$F$3:$F$2000,D6,Base_Dados!$G$3:$G$2000,"Atualização",Base_Dados!$H$3:$H$2000,D8,Base_Dados!$I$3:$I$2000,D9),0)</f>
        <v>0</v>
      </c>
    </row>
    <row r="17" spans="1:6" x14ac:dyDescent="0.25">
      <c r="A17" s="8" t="s">
        <v>43</v>
      </c>
      <c r="B17" s="14">
        <f>COUNTIFS(Base_Dados!$B$3:$B$2000,"&gt;="&amp;D4,Base_Dados!$B$3:$B$2000,"&lt;="&amp;D5,Base_Dados!$F$3:$F$2000,D6,Base_Dados!$G$3:$G$2000,"Produto",Base_Dados!$H$3:$H$2000,D8,Base_Dados!$I$3:$I$2000,D9,Base_Dados!$P$3:$P$2000,D10)</f>
        <v>0</v>
      </c>
      <c r="C17" s="24">
        <f>IFERROR(SUMIFS(Base_Dados!$V$3:$V$2000,Base_Dados!$B$3:$B$2000,"&gt;="&amp;D4,Base_Dados!$B$3:$B$2000,"&lt;="&amp;D5,Base_Dados!$F$3:$F$2000,D6,Base_Dados!$G$3:$G$2000,"Produto",Base_Dados!$H$3:$H$2000,D8,Base_Dados!$I$3:$I$2000,D9,Base_Dados!$P$3:$P$2000,D10)/COUNTIFS(Base_Dados!$B$3:$B$2000,"&gt;="&amp;D4,Base_Dados!$B$3:$B$2000,"&lt;="&amp;D5,Base_Dados!$F$3:$F$2000,D6,Base_Dados!$G$3:$G$2000,"Produto",Base_Dados!$H$3:$H$2000,D8,Base_Dados!$I$3:$I$2000,D9,Base_Dados!$P$3:$P$2000,D10),0)</f>
        <v>0</v>
      </c>
      <c r="D17" s="24">
        <f>IFERROR(AVERAGEIFS(Base_Dados!$U$3:$U$2000,Base_Dados!$B$3:$B$2000,"&gt;="&amp;D4,Base_Dados!$B$3:$B$2000,"&lt;="&amp;D5,Base_Dados!$F$3:$F$2000,D6,Base_Dados!$G$3:$G$2000,"Produto",Base_Dados!$H$3:$H$2000,D8,Base_Dados!$I$3:$I$2000,D9,Base_Dados!$P$3:$P$2000,D10),0)</f>
        <v>0</v>
      </c>
      <c r="E17" s="23">
        <f>IFERROR(AVERAGEIFS(Base_Dados!$O$3:$O$2000,Base_Dados!$B$3:$B$2000,"&gt;="&amp;D4,Base_Dados!$B$3:$B$2000,"&lt;="&amp;D5,Base_Dados!$F$3:$F$2000,D6,Base_Dados!$G$3:$G$2000,"Produto",Base_Dados!$H$3:$H$2000,D8,Base_Dados!$I$3:$I$2000,D9),0)</f>
        <v>0</v>
      </c>
    </row>
    <row r="18" spans="1:6" x14ac:dyDescent="0.25">
      <c r="A18" s="8" t="s">
        <v>40</v>
      </c>
      <c r="B18" s="14">
        <f>COUNTIFS(Base_Dados!$B$3:$B$2000,"&gt;="&amp;D4,Base_Dados!$B$3:$B$2000,"&lt;="&amp;D5,Base_Dados!$F$3:$F$2000,D6,Base_Dados!$G$3:$G$2000,"Qualidade",Base_Dados!$H$3:$H$2000,D8,Base_Dados!$I$3:$I$2000,D9,Base_Dados!$P$3:$P$2000,D10)</f>
        <v>0</v>
      </c>
      <c r="C18" s="24">
        <f>IFERROR(SUMIFS(Base_Dados!$V$3:$V$2000,Base_Dados!$B$3:$B$2000,"&gt;="&amp;D4,Base_Dados!$B$3:$B$2000,"&lt;="&amp;D5,Base_Dados!$F$3:$F$2000,D6,Base_Dados!$G$3:$G$2000,"Qualidade",Base_Dados!$H$3:$H$2000,D8,Base_Dados!$I$3:$I$2000,D9,Base_Dados!$P$3:$P$2000,D10)/COUNTIFS(Base_Dados!$B$3:$B$2000,"&gt;="&amp;D4,Base_Dados!$B$3:$B$2000,"&lt;="&amp;D5,Base_Dados!$F$3:$F$2000,D6,Base_Dados!$G$3:$G$2000,"Qualidade",Base_Dados!$H$3:$H$2000,D8,Base_Dados!$I$3:$I$2000,D9,Base_Dados!$P$3:$P$2000,D10),0)</f>
        <v>0</v>
      </c>
      <c r="D18" s="24">
        <f>IFERROR(AVERAGEIFS(Base_Dados!$U$3:$U$2000,Base_Dados!$B$3:$B$2000,"&gt;="&amp;D4,Base_Dados!$B$3:$B$2000,"&lt;="&amp;D5,Base_Dados!$F$3:$F$2000,D6,Base_Dados!$G$3:$G$2000,"Qualidade",Base_Dados!$H$3:$H$2000,D8,Base_Dados!$I$3:$I$2000,D9,Base_Dados!$P$3:$P$2000,D10),0)</f>
        <v>0</v>
      </c>
      <c r="E18" s="23">
        <f>IFERROR(AVERAGEIFS(Base_Dados!$O$3:$O$2000,Base_Dados!$B$3:$B$2000,"&gt;="&amp;D4,Base_Dados!$B$3:$B$2000,"&lt;="&amp;D5,Base_Dados!$F$3:$F$2000,D6,Base_Dados!$G$3:$G$2000,"Qualidade",Base_Dados!$H$3:$H$2000,D8,Base_Dados!$I$3:$I$2000,D9),0)</f>
        <v>0</v>
      </c>
    </row>
    <row r="19" spans="1:6" x14ac:dyDescent="0.25">
      <c r="A19" s="8" t="s">
        <v>51</v>
      </c>
      <c r="B19" s="14">
        <f>COUNTIFS(Base_Dados!$B$3:$B$2000,"&gt;="&amp;D4,Base_Dados!$B$3:$B$2000,"&lt;="&amp;D5,Base_Dados!$F$3:$F$2000,D6,Base_Dados!$G$3:$G$2000,"Comportamental",Base_Dados!$H$3:$H$2000,D8,Base_Dados!$I$3:$I$2000,D9,Base_Dados!$P$3:$P$2000,D10)</f>
        <v>0</v>
      </c>
      <c r="C19" s="24">
        <f>IFERROR(SUMIFS(Base_Dados!$V$3:$V$2000,Base_Dados!$B$3:$B$2000,"&gt;="&amp;D4,Base_Dados!$B$3:$B$2000,"&lt;="&amp;D5,Base_Dados!$F$3:$F$2000,D6,Base_Dados!$G$3:$G$2000,"Comportamental",Base_Dados!$H$3:$H$2000,D8,Base_Dados!$I$3:$I$2000,D9,Base_Dados!$P$3:$P$2000,D10)/COUNTIFS(Base_Dados!$B$3:$B$2000,"&gt;="&amp;D4,Base_Dados!$B$3:$B$2000,"&lt;="&amp;D5,Base_Dados!$F$3:$F$2000,D6,Base_Dados!$G$3:$G$2000,"Comportamental",Base_Dados!$H$3:$H$2000,D8,Base_Dados!$I$3:$I$2000,D9,Base_Dados!$P$3:$P$2000,D10),0)</f>
        <v>0</v>
      </c>
      <c r="D19" s="24">
        <f>IFERROR(AVERAGEIFS(Base_Dados!$U$3:$U$2000,Base_Dados!$B$3:$B$2000,"&gt;="&amp;D4,Base_Dados!$B$3:$B$2000,"&lt;="&amp;D5,Base_Dados!$F$3:$F$2000,D6,Base_Dados!$G$3:$G$2000,"Comportamental",Base_Dados!$H$3:$H$2000,D8,Base_Dados!$I$3:$I$2000,D9,Base_Dados!$P$3:$P$2000,D10),0)</f>
        <v>0</v>
      </c>
      <c r="E19" s="23">
        <f>IFERROR(AVERAGEIFS(Base_Dados!$O$3:$O$2000,Base_Dados!$B$3:$B$2000,"&gt;="&amp;D4,Base_Dados!$B$3:$B$2000,"&lt;="&amp;D5,Base_Dados!$F$3:$F$2000,D6,Base_Dados!$G$3:$G$2000,"Comportamental",Base_Dados!$H$3:$H$2000,D8,Base_Dados!$I$3:$I$2000,D9),0)</f>
        <v>0</v>
      </c>
    </row>
    <row r="20" spans="1:6" x14ac:dyDescent="0.25">
      <c r="A20" s="8" t="s">
        <v>37</v>
      </c>
      <c r="B20" s="14">
        <f>COUNTIFS(Base_Dados!$B$3:$B$2000,"&gt;="&amp;D4,Base_Dados!$B$3:$B$2000,"&lt;="&amp;D5,Base_Dados!$F$3:$F$2000,D6,Base_Dados!$G$3:$G$2000,"Processos",Base_Dados!$H$3:$H$2000,D8,Base_Dados!$I$3:$I$2000,D9,Base_Dados!$P$3:$P$2000,D10)</f>
        <v>0</v>
      </c>
      <c r="C20" s="24">
        <f>IFERROR(SUMIFS(Base_Dados!$V$3:$V$2000,Base_Dados!$B$3:$B$2000,"&gt;="&amp;D4,Base_Dados!$B$3:$B$2000,"&lt;="&amp;D5,Base_Dados!$F$3:$F$2000,D6,Base_Dados!$G$3:$G$2000,"Processos",Base_Dados!$H$3:$H$2000,D8,Base_Dados!$I$3:$I$2000,D9,Base_Dados!$P$3:$P$2000,D10)/COUNTIFS(Base_Dados!$B$3:$B$2000,"&gt;="&amp;D4,Base_Dados!$B$3:$B$2000,"&lt;="&amp;D5,Base_Dados!$F$3:$F$2000,D6,Base_Dados!$G$3:$G$2000,"Processos",Base_Dados!$H$3:$H$2000,D8,Base_Dados!$I$3:$I$2000,D9,Base_Dados!$P$3:$P$2000,D10),0)</f>
        <v>0</v>
      </c>
      <c r="D20" s="24">
        <f>IFERROR(AVERAGEIFS(Base_Dados!$U$3:$U$2000,Base_Dados!$B$3:$B$2000,"&gt;="&amp;D4,Base_Dados!$B$3:$B$2000,"&lt;="&amp;D5,Base_Dados!$F$3:$F$2000,D6,Base_Dados!$G$3:$G$2000,"Processos",Base_Dados!$H$3:$H$2000,D8,Base_Dados!$I$3:$I$2000,D9,Base_Dados!$P$3:$P$2000,D10),0)</f>
        <v>0</v>
      </c>
      <c r="E20" s="23">
        <f>IFERROR(AVERAGEIFS(Base_Dados!$O$3:$O$2000,Base_Dados!$B$3:$B$2000,"&gt;="&amp;D4,Base_Dados!$B$3:$B$2000,"&lt;="&amp;D5,Base_Dados!$F$3:$F$2000,D6,Base_Dados!$G$3:$G$2000,"Processos",Base_Dados!$H$3:$H$2000,D8,Base_Dados!$I$3:$I$2000,D9),0)</f>
        <v>0</v>
      </c>
    </row>
    <row r="21" spans="1:6" x14ac:dyDescent="0.25">
      <c r="A21" s="8" t="s">
        <v>48</v>
      </c>
      <c r="B21" s="14">
        <f>COUNTIFS(Base_Dados!$B$3:$B$2000,"&gt;="&amp;D4,Base_Dados!$B$3:$B$2000,"&lt;="&amp;D5,Base_Dados!$F$3:$F$2000,D6,Base_Dados!$G$3:$G$2000,"Tecnologia",Base_Dados!$H$3:$H$2000,D8,Base_Dados!$I$3:$I$2000,D9,Base_Dados!$P$3:$P$2000,D10)</f>
        <v>0</v>
      </c>
      <c r="C21" s="24">
        <f>IFERROR(SUMIFS(Base_Dados!$V$3:$V$2000,Base_Dados!$B$3:$B$2000,"&gt;="&amp;D4,Base_Dados!$B$3:$B$2000,"&lt;="&amp;D5,Base_Dados!$F$3:$F$2000,D6,Base_Dados!$G$3:$G$2000,"Tecnologia",Base_Dados!$H$3:$H$2000,D8,Base_Dados!$I$3:$I$2000,D9,Base_Dados!$P$3:$P$2000,D10)/COUNTIFS(Base_Dados!$B$3:$B$2000,"&gt;="&amp;D4,Base_Dados!$B$3:$B$2000,"&lt;="&amp;D5,Base_Dados!$F$3:$F$2000,D6,Base_Dados!$G$3:$G$2000,"Tecnologia",Base_Dados!$H$3:$H$2000,D8,Base_Dados!$I$3:$I$2000,D9,Base_Dados!$P$3:$P$2000,D10),0)</f>
        <v>0</v>
      </c>
      <c r="D21" s="24">
        <f>IFERROR(AVERAGEIFS(Base_Dados!$U$3:$U$2000,Base_Dados!$B$3:$B$2000,"&gt;="&amp;D4,Base_Dados!$B$3:$B$2000,"&lt;="&amp;D5,Base_Dados!$F$3:$F$2000,D6,Base_Dados!$G$3:$G$2000,"Tecnologia",Base_Dados!$H$3:$H$2000,D8,Base_Dados!$I$3:$I$2000,D9,Base_Dados!$P$3:$P$2000,D10),0)</f>
        <v>0</v>
      </c>
      <c r="E21" s="23">
        <f>IFERROR(AVERAGEIFS(Base_Dados!$O$3:$O$2000,Base_Dados!$B$3:$B$2000,"&gt;="&amp;D4,Base_Dados!$B$3:$B$2000,"&lt;="&amp;D5,Base_Dados!$F$3:$F$2000,D6,Base_Dados!$G$3:$G$2000,"Tecnologia",Base_Dados!$H$3:$H$2000,D8,Base_Dados!$I$3:$I$2000,D9),0)</f>
        <v>0</v>
      </c>
    </row>
    <row r="24" spans="1:6" x14ac:dyDescent="0.25">
      <c r="A24" s="36" t="s">
        <v>96</v>
      </c>
      <c r="B24" s="32"/>
      <c r="C24" s="32"/>
    </row>
    <row r="25" spans="1:6" x14ac:dyDescent="0.25">
      <c r="A25" s="13" t="s">
        <v>15</v>
      </c>
      <c r="B25" s="13" t="s">
        <v>95</v>
      </c>
    </row>
    <row r="26" spans="1:6" x14ac:dyDescent="0.25">
      <c r="A26" s="8" t="s">
        <v>40</v>
      </c>
      <c r="B26" s="24">
        <f>IFERROR(AVERAGEIFS(Base_Dados!$U$3:$U$2000,Base_Dados!$B$3:$B$2000,"&gt;="&amp;D4,Base_Dados!$B$3:$B$2000,"&lt;="&amp;D5,Base_Dados!$F$3:$F$2000,D6,Base_Dados!$G$3:$G$2000,D7,Base_Dados!$H$3:$H$2000,D8,Base_Dados!$I$3:$I$2000,D9,Base_Dados!$P$3:$P$2000,"Qualidade"),0)</f>
        <v>0</v>
      </c>
    </row>
    <row r="27" spans="1:6" x14ac:dyDescent="0.25">
      <c r="A27" s="8" t="s">
        <v>38</v>
      </c>
      <c r="B27" s="24">
        <f>IFERROR(AVERAGEIFS(Base_Dados!$U$3:$U$2000,Base_Dados!$B$3:$B$2000,"&gt;="&amp;D4,Base_Dados!$B$3:$B$2000,"&lt;="&amp;D5,Base_Dados!$F$3:$F$2000,D6,Base_Dados!$G$3:$G$2000,D7,Base_Dados!$H$3:$H$2000,D8,Base_Dados!$I$3:$I$2000,D9,Base_Dados!$P$3:$P$2000,"TMA"),0)</f>
        <v>0</v>
      </c>
    </row>
    <row r="28" spans="1:6" x14ac:dyDescent="0.25">
      <c r="A28" s="8" t="s">
        <v>44</v>
      </c>
      <c r="B28" s="24">
        <f>IFERROR(AVERAGEIFS(Base_Dados!$U$3:$U$2000,Base_Dados!$B$3:$B$2000,"&gt;="&amp;D4,Base_Dados!$B$3:$B$2000,"&lt;="&amp;D5,Base_Dados!$F$3:$F$2000,D6,Base_Dados!$G$3:$G$2000,D7,Base_Dados!$H$3:$H$2000,D8,Base_Dados!$I$3:$I$2000,D9,Base_Dados!$P$3:$P$2000,"Conversao"),0)</f>
        <v>0</v>
      </c>
    </row>
    <row r="29" spans="1:6" x14ac:dyDescent="0.25">
      <c r="A29" s="8" t="s">
        <v>46</v>
      </c>
      <c r="B29" s="24">
        <f>IFERROR(AVERAGEIFS(Base_Dados!$U$3:$U$2000,Base_Dados!$B$3:$B$2000,"&gt;="&amp;D4,Base_Dados!$B$3:$B$2000,"&lt;="&amp;D5,Base_Dados!$F$3:$F$2000,D6,Base_Dados!$G$3:$G$2000,D7,Base_Dados!$H$3:$H$2000,D8,Base_Dados!$I$3:$I$2000,D9,Base_Dados!$P$3:$P$2000,"NPS"),0)</f>
        <v>0</v>
      </c>
    </row>
    <row r="32" spans="1:6" x14ac:dyDescent="0.25">
      <c r="A32" s="39" t="s">
        <v>97</v>
      </c>
      <c r="B32" s="32"/>
      <c r="C32" s="32"/>
      <c r="D32" s="32"/>
      <c r="E32" s="32"/>
      <c r="F32" s="32"/>
    </row>
  </sheetData>
  <mergeCells count="5">
    <mergeCell ref="A12:E12"/>
    <mergeCell ref="A1:L1"/>
    <mergeCell ref="A32:F32"/>
    <mergeCell ref="A3:C3"/>
    <mergeCell ref="A24:C24"/>
  </mergeCells>
  <conditionalFormatting sqref="D14:D21">
    <cfRule type="colorScale" priority="1">
      <colorScale>
        <cfvo type="num" val="-0.05"/>
        <cfvo type="num" val="0"/>
        <cfvo type="num" val="0.12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Dimensoes!$A$3:$A$11</xm:f>
          </x14:formula1>
          <xm:sqref>B6</xm:sqref>
        </x14:dataValidation>
        <x14:dataValidation type="list" allowBlank="1" showInputMessage="1" showErrorMessage="1">
          <x14:formula1>
            <xm:f>Dimensoes!$D$3:$D$14</xm:f>
          </x14:formula1>
          <xm:sqref>B8</xm:sqref>
        </x14:dataValidation>
        <x14:dataValidation type="list" allowBlank="1" showInputMessage="1" showErrorMessage="1">
          <x14:formula1>
            <xm:f>Dimensoes!$E$3:$E$5</xm:f>
          </x14:formula1>
          <xm:sqref>B9</xm:sqref>
        </x14:dataValidation>
        <x14:dataValidation type="list" allowBlank="1" showInputMessage="1" showErrorMessage="1">
          <x14:formula1>
            <xm:f>Dimensoes!$F$3:$F$7</xm:f>
          </x14:formula1>
          <xm:sqref>B10</xm:sqref>
        </x14:dataValidation>
        <x14:dataValidation type="list" allowBlank="1" showInputMessage="1" showErrorMessage="1">
          <x14:formula1>
            <xm:f>Dimensoes!$B$3:$B$11</xm:f>
          </x14:formula1>
          <xm:sqref>B7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showGridLines="0" topLeftCell="A4" workbookViewId="0">
      <selection activeCell="B25" sqref="B25"/>
    </sheetView>
  </sheetViews>
  <sheetFormatPr defaultRowHeight="15" x14ac:dyDescent="0.25"/>
  <cols>
    <col min="1" max="1" width="22" customWidth="1"/>
    <col min="2" max="2" width="14" customWidth="1"/>
    <col min="3" max="3" width="16" customWidth="1"/>
    <col min="4" max="4" width="14" customWidth="1"/>
    <col min="5" max="8" width="16" customWidth="1"/>
  </cols>
  <sheetData>
    <row r="1" spans="1:12" ht="33.950000000000003" customHeight="1" x14ac:dyDescent="0.25">
      <c r="A1" s="31" t="s">
        <v>98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ht="20.100000000000001" customHeight="1" x14ac:dyDescent="0.25">
      <c r="A3" s="36" t="s">
        <v>59</v>
      </c>
      <c r="B3" s="32"/>
      <c r="C3" s="32"/>
      <c r="D3" s="9" t="s">
        <v>60</v>
      </c>
    </row>
    <row r="4" spans="1:12" x14ac:dyDescent="0.25">
      <c r="A4" s="11" t="s">
        <v>61</v>
      </c>
      <c r="B4" s="20">
        <v>46054</v>
      </c>
      <c r="D4" s="9">
        <f>B4</f>
        <v>46054</v>
      </c>
    </row>
    <row r="5" spans="1:12" x14ac:dyDescent="0.25">
      <c r="A5" s="11" t="s">
        <v>65</v>
      </c>
      <c r="B5" s="20">
        <v>46081</v>
      </c>
      <c r="D5" s="9">
        <f>B5</f>
        <v>46081</v>
      </c>
    </row>
    <row r="6" spans="1:12" x14ac:dyDescent="0.25">
      <c r="A6" s="11" t="s">
        <v>5</v>
      </c>
      <c r="B6" s="12" t="s">
        <v>54</v>
      </c>
      <c r="D6" s="9" t="str">
        <f>IF(B6="Todos","*",B6)</f>
        <v>*</v>
      </c>
    </row>
    <row r="7" spans="1:12" x14ac:dyDescent="0.25">
      <c r="A7" s="11" t="s">
        <v>69</v>
      </c>
      <c r="B7" s="12" t="s">
        <v>54</v>
      </c>
      <c r="D7" s="9" t="str">
        <f>IF(B7="Todos","*",B7)</f>
        <v>*</v>
      </c>
    </row>
    <row r="8" spans="1:12" x14ac:dyDescent="0.25">
      <c r="A8" s="11" t="s">
        <v>7</v>
      </c>
      <c r="B8" s="12" t="s">
        <v>54</v>
      </c>
      <c r="D8" s="9" t="str">
        <f>IF(B8="Todos","*",B8)</f>
        <v>*</v>
      </c>
    </row>
    <row r="9" spans="1:12" x14ac:dyDescent="0.25">
      <c r="A9" s="11" t="s">
        <v>8</v>
      </c>
      <c r="B9" s="12" t="s">
        <v>54</v>
      </c>
      <c r="D9" s="9" t="str">
        <f>IF(B9="Todos","*",B9)</f>
        <v>*</v>
      </c>
    </row>
    <row r="10" spans="1:12" x14ac:dyDescent="0.25">
      <c r="A10" s="11" t="s">
        <v>70</v>
      </c>
      <c r="B10" s="12" t="s">
        <v>54</v>
      </c>
      <c r="D10" s="9" t="str">
        <f>IF(B10="Todos","*",B10)</f>
        <v>*</v>
      </c>
    </row>
    <row r="12" spans="1:12" x14ac:dyDescent="0.25">
      <c r="A12" s="36" t="s">
        <v>99</v>
      </c>
      <c r="B12" s="32"/>
      <c r="C12" s="32"/>
      <c r="D12" s="32"/>
      <c r="E12" s="32"/>
      <c r="F12" s="32"/>
    </row>
    <row r="13" spans="1:12" x14ac:dyDescent="0.25">
      <c r="A13" s="13" t="s">
        <v>7</v>
      </c>
      <c r="B13" s="13" t="s">
        <v>62</v>
      </c>
      <c r="C13" s="13" t="s">
        <v>11</v>
      </c>
      <c r="D13" s="13" t="s">
        <v>64</v>
      </c>
      <c r="E13" s="13" t="s">
        <v>66</v>
      </c>
      <c r="F13" s="13" t="s">
        <v>95</v>
      </c>
    </row>
    <row r="14" spans="1:12" x14ac:dyDescent="0.25">
      <c r="A14" s="8" t="s">
        <v>115</v>
      </c>
      <c r="B14" s="14">
        <f>COUNTIFS(Base_Dados!$B$3:$B$2000,"&gt;="&amp;$D$4,Base_Dados!$B$3:$B$2000,"&lt;="&amp;$D$5,Base_Dados!$F$3:$F$2000,$D$6,Base_Dados!$G$3:$G$2000,D7,Base_Dados!$H$3:$H$2000,A14,Base_Dados!$I$3:$I$2000,$D$9)</f>
        <v>1</v>
      </c>
      <c r="C14" s="14">
        <f>SUMIFS(Base_Dados!$L$3:$L$2000,Base_Dados!$B$3:$B$2000,"&gt;="&amp;$D$4,Base_Dados!$B$3:$B$2000,"&lt;="&amp;$D$5,Base_Dados!$F$3:$F$2000,$D$6,Base_Dados!$G$3:$G$2000,$D$7,Base_Dados!$H$3:$H$2000,A14,Base_Dados!$I$3:$I$2000,$D$9)</f>
        <v>17</v>
      </c>
      <c r="D14" s="24">
        <f>IFERROR(SUMIFS(Base_Dados!$L$3:$L$2000,Base_Dados!$B$3:$B$2000,"&gt;="&amp;$D$4,Base_Dados!$B$3:$B$2000,"&lt;="&amp;$D$5,Base_Dados!$F$3:$F$2000,$D$6,Base_Dados!$G$3:$G$2000,$D$7,Base_Dados!$H$3:$H$2000,A14,Base_Dados!$I$3:$I$2000,$D$9)/SUMIFS(Base_Dados!$K$3:$K$2000,Base_Dados!$B$3:$B$2000,"&gt;="&amp;$D$4,Base_Dados!$B$3:$B$2000,"&lt;="&amp;$D$5,Base_Dados!$F$3:$F$2000,$D$6,Base_Dados!$G$3:$G$2000,$D$7,Base_Dados!$H$3:$H$2000,A14,Base_Dados!$I$3:$I$2000,$D$9),0)</f>
        <v>1</v>
      </c>
      <c r="E14" s="23">
        <f>IFERROR(AVERAGEIFS(Base_Dados!$O$3:$O$2000,Base_Dados!$B$3:$B$2000,"&gt;="&amp;$D$4,Base_Dados!$B$3:$B$2000,"&lt;="&amp;$D$5,Base_Dados!$F$3:$F$2000,$D$6,Base_Dados!$G$3:$G$2000,$D$7,Base_Dados!$H$3:$H$2000,A14,Base_Dados!$I$3:$I$2000,$D$9),0)</f>
        <v>0</v>
      </c>
      <c r="F14" s="24">
        <f>IFERROR(AVERAGEIFS(Base_Dados!$U$3:$U$2000,Base_Dados!$B$3:$B$2000,"&gt;="&amp;$D$4,Base_Dados!$B$3:$B$2000,"&lt;="&amp;$D$5,Base_Dados!$F$3:$F$2000,$D$6,Base_Dados!$G$3:$G$2000,$D$7,Base_Dados!$H$3:$H$2000,A14,Base_Dados!$I$3:$I$2000,$D$9,Base_Dados!$P$3:$P$2000,$D$10),0)</f>
        <v>0</v>
      </c>
    </row>
    <row r="15" spans="1:12" x14ac:dyDescent="0.25">
      <c r="A15" s="8" t="s">
        <v>116</v>
      </c>
      <c r="B15" s="14">
        <f>COUNTIFS(Base_Dados!$B$3:$B$2000,"&gt;="&amp;$D$4,Base_Dados!$B$3:$B$2000,"&lt;="&amp;$D$5,Base_Dados!$F$3:$F$2000,$D$6,Base_Dados!$G$3:$G$2000,D8,Base_Dados!$H$3:$H$2000,A15,Base_Dados!$I$3:$I$2000,$D$9)</f>
        <v>1</v>
      </c>
      <c r="C15" s="14">
        <f>SUMIFS(Base_Dados!$L$3:$L$2000,Base_Dados!$B$3:$B$2000,"&gt;="&amp;$D$4,Base_Dados!$B$3:$B$2000,"&lt;="&amp;$D$5,Base_Dados!$F$3:$F$2000,$D$6,Base_Dados!$G$3:$G$2000,$D$7,Base_Dados!$H$3:$H$2000,A15,Base_Dados!$I$3:$I$2000,$D$9)</f>
        <v>145</v>
      </c>
      <c r="D15" s="24">
        <f>IFERROR(SUMIFS(Base_Dados!$L$3:$L$2000,Base_Dados!$B$3:$B$2000,"&gt;="&amp;$D$4,Base_Dados!$B$3:$B$2000,"&lt;="&amp;$D$5,Base_Dados!$F$3:$F$2000,$D$6,Base_Dados!$G$3:$G$2000,$D$7,Base_Dados!$H$3:$H$2000,A15,Base_Dados!$I$3:$I$2000,$D$9)/SUMIFS(Base_Dados!$K$3:$K$2000,Base_Dados!$B$3:$B$2000,"&gt;="&amp;$D$4,Base_Dados!$B$3:$B$2000,"&lt;="&amp;$D$5,Base_Dados!$F$3:$F$2000,$D$6,Base_Dados!$G$3:$G$2000,$D$7,Base_Dados!$H$3:$H$2000,A15,Base_Dados!$I$3:$I$2000,$D$9),0)</f>
        <v>0.81005586592178769</v>
      </c>
      <c r="E15" s="23">
        <f>IFERROR(AVERAGEIFS(Base_Dados!$O$3:$O$2000,Base_Dados!$B$3:$B$2000,"&gt;="&amp;$D$4,Base_Dados!$B$3:$B$2000,"&lt;="&amp;$D$5,Base_Dados!$F$3:$F$2000,$D$6,Base_Dados!$G$3:$G$2000,$D$7,Base_Dados!$H$3:$H$2000,A15,Base_Dados!$I$3:$I$2000,$D$9),0)</f>
        <v>0</v>
      </c>
      <c r="F15" s="24">
        <f>IFERROR(AVERAGEIFS(Base_Dados!$U$3:$U$2000,Base_Dados!$B$3:$B$2000,"&gt;="&amp;$D$4,Base_Dados!$B$3:$B$2000,"&lt;="&amp;$D$5,Base_Dados!$F$3:$F$2000,$D$6,Base_Dados!$G$3:$G$2000,$D$7,Base_Dados!$H$3:$H$2000,A15,Base_Dados!$I$3:$I$2000,$D$9,Base_Dados!$P$3:$P$2000,$D$10),0)</f>
        <v>0</v>
      </c>
    </row>
    <row r="16" spans="1:12" x14ac:dyDescent="0.25">
      <c r="A16" s="8" t="s">
        <v>117</v>
      </c>
      <c r="B16" s="14">
        <f>COUNTIFS(Base_Dados!$B$3:$B$2000,"&gt;="&amp;$D$4,Base_Dados!$B$3:$B$2000,"&lt;="&amp;$D$5,Base_Dados!$F$3:$F$2000,$D$6,Base_Dados!$G$3:$G$2000,D9,Base_Dados!$H$3:$H$2000,A16,Base_Dados!$I$3:$I$2000,$D$9)</f>
        <v>1</v>
      </c>
      <c r="C16" s="14">
        <f>SUMIFS(Base_Dados!$L$3:$L$2000,Base_Dados!$B$3:$B$2000,"&gt;="&amp;$D$4,Base_Dados!$B$3:$B$2000,"&lt;="&amp;$D$5,Base_Dados!$F$3:$F$2000,$D$6,Base_Dados!$G$3:$G$2000,$D$7,Base_Dados!$H$3:$H$2000,A16,Base_Dados!$I$3:$I$2000,$D$9)</f>
        <v>9</v>
      </c>
      <c r="D16" s="24">
        <f>IFERROR(SUMIFS(Base_Dados!$L$3:$L$2000,Base_Dados!$B$3:$B$2000,"&gt;="&amp;$D$4,Base_Dados!$B$3:$B$2000,"&lt;="&amp;$D$5,Base_Dados!$F$3:$F$2000,$D$6,Base_Dados!$G$3:$G$2000,$D$7,Base_Dados!$H$3:$H$2000,A16,Base_Dados!$I$3:$I$2000,$D$9)/SUMIFS(Base_Dados!$K$3:$K$2000,Base_Dados!$B$3:$B$2000,"&gt;="&amp;$D$4,Base_Dados!$B$3:$B$2000,"&lt;="&amp;$D$5,Base_Dados!$F$3:$F$2000,$D$6,Base_Dados!$G$3:$G$2000,$D$7,Base_Dados!$H$3:$H$2000,A16,Base_Dados!$I$3:$I$2000,$D$9),0)</f>
        <v>1</v>
      </c>
      <c r="E16" s="23">
        <f>IFERROR(AVERAGEIFS(Base_Dados!$O$3:$O$2000,Base_Dados!$B$3:$B$2000,"&gt;="&amp;$D$4,Base_Dados!$B$3:$B$2000,"&lt;="&amp;$D$5,Base_Dados!$F$3:$F$2000,$D$6,Base_Dados!$G$3:$G$2000,$D$7,Base_Dados!$H$3:$H$2000,A16,Base_Dados!$I$3:$I$2000,$D$9),0)</f>
        <v>0</v>
      </c>
      <c r="F16" s="24">
        <f>IFERROR(AVERAGEIFS(Base_Dados!$U$3:$U$2000,Base_Dados!$B$3:$B$2000,"&gt;="&amp;$D$4,Base_Dados!$B$3:$B$2000,"&lt;="&amp;$D$5,Base_Dados!$F$3:$F$2000,$D$6,Base_Dados!$G$3:$G$2000,$D$7,Base_Dados!$H$3:$H$2000,A16,Base_Dados!$I$3:$I$2000,$D$9,Base_Dados!$P$3:$P$2000,$D$10),0)</f>
        <v>0</v>
      </c>
    </row>
    <row r="17" spans="1:6" x14ac:dyDescent="0.25">
      <c r="A17" s="8" t="s">
        <v>118</v>
      </c>
      <c r="B17" s="14">
        <f>COUNTIFS(Base_Dados!$B$3:$B$2000,"&gt;="&amp;$D$4,Base_Dados!$B$3:$B$2000,"&lt;="&amp;$D$5,Base_Dados!$F$3:$F$2000,$D$6,Base_Dados!$G$3:$G$2000,D10,Base_Dados!$H$3:$H$2000,A17,Base_Dados!$I$3:$I$2000,$D$9)</f>
        <v>1</v>
      </c>
      <c r="C17" s="14">
        <f>SUMIFS(Base_Dados!$L$3:$L$2000,Base_Dados!$B$3:$B$2000,"&gt;="&amp;$D$4,Base_Dados!$B$3:$B$2000,"&lt;="&amp;$D$5,Base_Dados!$F$3:$F$2000,$D$6,Base_Dados!$G$3:$G$2000,$D$7,Base_Dados!$H$3:$H$2000,A17,Base_Dados!$I$3:$I$2000,$D$9)</f>
        <v>29</v>
      </c>
      <c r="D17" s="24">
        <f>IFERROR(SUMIFS(Base_Dados!$L$3:$L$2000,Base_Dados!$B$3:$B$2000,"&gt;="&amp;$D$4,Base_Dados!$B$3:$B$2000,"&lt;="&amp;$D$5,Base_Dados!$F$3:$F$2000,$D$6,Base_Dados!$G$3:$G$2000,$D$7,Base_Dados!$H$3:$H$2000,A17,Base_Dados!$I$3:$I$2000,$D$9)/SUMIFS(Base_Dados!$K$3:$K$2000,Base_Dados!$B$3:$B$2000,"&gt;="&amp;$D$4,Base_Dados!$B$3:$B$2000,"&lt;="&amp;$D$5,Base_Dados!$F$3:$F$2000,$D$6,Base_Dados!$G$3:$G$2000,$D$7,Base_Dados!$H$3:$H$2000,A17,Base_Dados!$I$3:$I$2000,$D$9),0)</f>
        <v>0.90625</v>
      </c>
      <c r="E17" s="23">
        <f>IFERROR(AVERAGEIFS(Base_Dados!$O$3:$O$2000,Base_Dados!$B$3:$B$2000,"&gt;="&amp;$D$4,Base_Dados!$B$3:$B$2000,"&lt;="&amp;$D$5,Base_Dados!$F$3:$F$2000,$D$6,Base_Dados!$G$3:$G$2000,$D$7,Base_Dados!$H$3:$H$2000,A17,Base_Dados!$I$3:$I$2000,$D$9),0)</f>
        <v>0</v>
      </c>
      <c r="F17" s="24">
        <f>IFERROR(AVERAGEIFS(Base_Dados!$U$3:$U$2000,Base_Dados!$B$3:$B$2000,"&gt;="&amp;$D$4,Base_Dados!$B$3:$B$2000,"&lt;="&amp;$D$5,Base_Dados!$F$3:$F$2000,$D$6,Base_Dados!$G$3:$G$2000,$D$7,Base_Dados!$H$3:$H$2000,A17,Base_Dados!$I$3:$I$2000,$D$9,Base_Dados!$P$3:$P$2000,$D$10),0)</f>
        <v>0</v>
      </c>
    </row>
    <row r="18" spans="1:6" x14ac:dyDescent="0.25">
      <c r="A18" s="8" t="s">
        <v>119</v>
      </c>
      <c r="B18" s="14">
        <f>COUNTIFS(Base_Dados!$B$3:$B$2000,"&gt;="&amp;$D$4,Base_Dados!$B$3:$B$2000,"&lt;="&amp;$D$5,Base_Dados!$F$3:$F$2000,$D$6,Base_Dados!$G$3:$G$2000,D11,Base_Dados!$H$3:$H$2000,A18,Base_Dados!$I$3:$I$2000,$D$9)</f>
        <v>0</v>
      </c>
      <c r="C18" s="14">
        <f>SUMIFS(Base_Dados!$L$3:$L$2000,Base_Dados!$B$3:$B$2000,"&gt;="&amp;$D$4,Base_Dados!$B$3:$B$2000,"&lt;="&amp;$D$5,Base_Dados!$F$3:$F$2000,$D$6,Base_Dados!$G$3:$G$2000,$D$7,Base_Dados!$H$3:$H$2000,A18,Base_Dados!$I$3:$I$2000,$D$9)</f>
        <v>0</v>
      </c>
      <c r="D18" s="24">
        <f>IFERROR(SUMIFS(Base_Dados!$L$3:$L$2000,Base_Dados!$B$3:$B$2000,"&gt;="&amp;$D$4,Base_Dados!$B$3:$B$2000,"&lt;="&amp;$D$5,Base_Dados!$F$3:$F$2000,$D$6,Base_Dados!$G$3:$G$2000,$D$7,Base_Dados!$H$3:$H$2000,A18,Base_Dados!$I$3:$I$2000,$D$9)/SUMIFS(Base_Dados!$K$3:$K$2000,Base_Dados!$B$3:$B$2000,"&gt;="&amp;$D$4,Base_Dados!$B$3:$B$2000,"&lt;="&amp;$D$5,Base_Dados!$F$3:$F$2000,$D$6,Base_Dados!$G$3:$G$2000,$D$7,Base_Dados!$H$3:$H$2000,A18,Base_Dados!$I$3:$I$2000,$D$9),0)</f>
        <v>0</v>
      </c>
      <c r="E18" s="23">
        <f>IFERROR(AVERAGEIFS(Base_Dados!$O$3:$O$2000,Base_Dados!$B$3:$B$2000,"&gt;="&amp;$D$4,Base_Dados!$B$3:$B$2000,"&lt;="&amp;$D$5,Base_Dados!$F$3:$F$2000,$D$6,Base_Dados!$G$3:$G$2000,$D$7,Base_Dados!$H$3:$H$2000,A18,Base_Dados!$I$3:$I$2000,$D$9),0)</f>
        <v>0</v>
      </c>
      <c r="F18" s="24">
        <f>IFERROR(AVERAGEIFS(Base_Dados!$U$3:$U$2000,Base_Dados!$B$3:$B$2000,"&gt;="&amp;$D$4,Base_Dados!$B$3:$B$2000,"&lt;="&amp;$D$5,Base_Dados!$F$3:$F$2000,$D$6,Base_Dados!$G$3:$G$2000,$D$7,Base_Dados!$H$3:$H$2000,A18,Base_Dados!$I$3:$I$2000,$D$9,Base_Dados!$P$3:$P$2000,$D$10),0)</f>
        <v>0</v>
      </c>
    </row>
    <row r="19" spans="1:6" x14ac:dyDescent="0.25">
      <c r="A19" s="8" t="s">
        <v>120</v>
      </c>
      <c r="B19" s="14">
        <f>COUNTIFS(Base_Dados!$B$3:$B$2000,"&gt;="&amp;$D$4,Base_Dados!$B$3:$B$2000,"&lt;="&amp;$D$5,Base_Dados!$F$3:$F$2000,$D$6,Base_Dados!$G$3:$G$2000,D12,Base_Dados!$H$3:$H$2000,A19,Base_Dados!$I$3:$I$2000,$D$9)</f>
        <v>0</v>
      </c>
      <c r="C19" s="14">
        <f>SUMIFS(Base_Dados!$L$3:$L$2000,Base_Dados!$B$3:$B$2000,"&gt;="&amp;$D$4,Base_Dados!$B$3:$B$2000,"&lt;="&amp;$D$5,Base_Dados!$F$3:$F$2000,$D$6,Base_Dados!$G$3:$G$2000,$D$7,Base_Dados!$H$3:$H$2000,A19,Base_Dados!$I$3:$I$2000,$D$9)</f>
        <v>6</v>
      </c>
      <c r="D19" s="24">
        <f>IFERROR(SUMIFS(Base_Dados!$L$3:$L$2000,Base_Dados!$B$3:$B$2000,"&gt;="&amp;$D$4,Base_Dados!$B$3:$B$2000,"&lt;="&amp;$D$5,Base_Dados!$F$3:$F$2000,$D$6,Base_Dados!$G$3:$G$2000,$D$7,Base_Dados!$H$3:$H$2000,A19,Base_Dados!$I$3:$I$2000,$D$9)/SUMIFS(Base_Dados!$K$3:$K$2000,Base_Dados!$B$3:$B$2000,"&gt;="&amp;$D$4,Base_Dados!$B$3:$B$2000,"&lt;="&amp;$D$5,Base_Dados!$F$3:$F$2000,$D$6,Base_Dados!$G$3:$G$2000,$D$7,Base_Dados!$H$3:$H$2000,A19,Base_Dados!$I$3:$I$2000,$D$9),0)</f>
        <v>1</v>
      </c>
      <c r="E19" s="23">
        <f>IFERROR(AVERAGEIFS(Base_Dados!$O$3:$O$2000,Base_Dados!$B$3:$B$2000,"&gt;="&amp;$D$4,Base_Dados!$B$3:$B$2000,"&lt;="&amp;$D$5,Base_Dados!$F$3:$F$2000,$D$6,Base_Dados!$G$3:$G$2000,$D$7,Base_Dados!$H$3:$H$2000,A19,Base_Dados!$I$3:$I$2000,$D$9),0)</f>
        <v>0</v>
      </c>
      <c r="F19" s="24">
        <f>IFERROR(AVERAGEIFS(Base_Dados!$U$3:$U$2000,Base_Dados!$B$3:$B$2000,"&gt;="&amp;$D$4,Base_Dados!$B$3:$B$2000,"&lt;="&amp;$D$5,Base_Dados!$F$3:$F$2000,$D$6,Base_Dados!$G$3:$G$2000,$D$7,Base_Dados!$H$3:$H$2000,A19,Base_Dados!$I$3:$I$2000,$D$9,Base_Dados!$P$3:$P$2000,$D$10),0)</f>
        <v>0</v>
      </c>
    </row>
    <row r="20" spans="1:6" x14ac:dyDescent="0.25">
      <c r="A20" s="8" t="s">
        <v>121</v>
      </c>
      <c r="B20" s="14">
        <f>COUNTIFS(Base_Dados!$B$3:$B$2000,"&gt;="&amp;$D$4,Base_Dados!$B$3:$B$2000,"&lt;="&amp;$D$5,Base_Dados!$F$3:$F$2000,$D$6,Base_Dados!$G$3:$G$2000,D13,Base_Dados!$H$3:$H$2000,A20,Base_Dados!$I$3:$I$2000,$D$9)</f>
        <v>0</v>
      </c>
      <c r="C20" s="14">
        <f>SUMIFS(Base_Dados!$L$3:$L$2000,Base_Dados!$B$3:$B$2000,"&gt;="&amp;$D$4,Base_Dados!$B$3:$B$2000,"&lt;="&amp;$D$5,Base_Dados!$F$3:$F$2000,$D$6,Base_Dados!$G$3:$G$2000,$D$7,Base_Dados!$H$3:$H$2000,A20,Base_Dados!$I$3:$I$2000,$D$9)</f>
        <v>0</v>
      </c>
      <c r="D20" s="24">
        <f>IFERROR(SUMIFS(Base_Dados!$L$3:$L$2000,Base_Dados!$B$3:$B$2000,"&gt;="&amp;$D$4,Base_Dados!$B$3:$B$2000,"&lt;="&amp;$D$5,Base_Dados!$F$3:$F$2000,$D$6,Base_Dados!$G$3:$G$2000,$D$7,Base_Dados!$H$3:$H$2000,A20,Base_Dados!$I$3:$I$2000,$D$9)/SUMIFS(Base_Dados!$K$3:$K$2000,Base_Dados!$B$3:$B$2000,"&gt;="&amp;$D$4,Base_Dados!$B$3:$B$2000,"&lt;="&amp;$D$5,Base_Dados!$F$3:$F$2000,$D$6,Base_Dados!$G$3:$G$2000,$D$7,Base_Dados!$H$3:$H$2000,A20,Base_Dados!$I$3:$I$2000,$D$9),0)</f>
        <v>0</v>
      </c>
      <c r="E20" s="23">
        <f>IFERROR(AVERAGEIFS(Base_Dados!$O$3:$O$2000,Base_Dados!$B$3:$B$2000,"&gt;="&amp;$D$4,Base_Dados!$B$3:$B$2000,"&lt;="&amp;$D$5,Base_Dados!$F$3:$F$2000,$D$6,Base_Dados!$G$3:$G$2000,$D$7,Base_Dados!$H$3:$H$2000,A20,Base_Dados!$I$3:$I$2000,$D$9),0)</f>
        <v>0</v>
      </c>
      <c r="F20" s="24">
        <f>IFERROR(AVERAGEIFS(Base_Dados!$U$3:$U$2000,Base_Dados!$B$3:$B$2000,"&gt;="&amp;$D$4,Base_Dados!$B$3:$B$2000,"&lt;="&amp;$D$5,Base_Dados!$F$3:$F$2000,$D$6,Base_Dados!$G$3:$G$2000,$D$7,Base_Dados!$H$3:$H$2000,A20,Base_Dados!$I$3:$I$2000,$D$9,Base_Dados!$P$3:$P$2000,$D$10),0)</f>
        <v>0</v>
      </c>
    </row>
    <row r="21" spans="1:6" x14ac:dyDescent="0.25">
      <c r="A21" s="8" t="s">
        <v>122</v>
      </c>
      <c r="B21" s="14">
        <f>COUNTIFS(Base_Dados!$B$3:$B$2000,"&gt;="&amp;$D$4,Base_Dados!$B$3:$B$2000,"&lt;="&amp;$D$5,Base_Dados!$F$3:$F$2000,$D$6,Base_Dados!$G$3:$G$2000,D14,Base_Dados!$H$3:$H$2000,A21,Base_Dados!$I$3:$I$2000,$D$9)</f>
        <v>0</v>
      </c>
      <c r="C21" s="14">
        <f>SUMIFS(Base_Dados!$L$3:$L$2000,Base_Dados!$B$3:$B$2000,"&gt;="&amp;$D$4,Base_Dados!$B$3:$B$2000,"&lt;="&amp;$D$5,Base_Dados!$F$3:$F$2000,$D$6,Base_Dados!$G$3:$G$2000,$D$7,Base_Dados!$H$3:$H$2000,A21,Base_Dados!$I$3:$I$2000,$D$9)</f>
        <v>29</v>
      </c>
      <c r="D21" s="24">
        <f>IFERROR(SUMIFS(Base_Dados!$L$3:$L$2000,Base_Dados!$B$3:$B$2000,"&gt;="&amp;$D$4,Base_Dados!$B$3:$B$2000,"&lt;="&amp;$D$5,Base_Dados!$F$3:$F$2000,$D$6,Base_Dados!$G$3:$G$2000,$D$7,Base_Dados!$H$3:$H$2000,A21,Base_Dados!$I$3:$I$2000,$D$9)/SUMIFS(Base_Dados!$K$3:$K$2000,Base_Dados!$B$3:$B$2000,"&gt;="&amp;$D$4,Base_Dados!$B$3:$B$2000,"&lt;="&amp;$D$5,Base_Dados!$F$3:$F$2000,$D$6,Base_Dados!$G$3:$G$2000,$D$7,Base_Dados!$H$3:$H$2000,A21,Base_Dados!$I$3:$I$2000,$D$9),0)</f>
        <v>1</v>
      </c>
      <c r="E21" s="23">
        <f>IFERROR(AVERAGEIFS(Base_Dados!$O$3:$O$2000,Base_Dados!$B$3:$B$2000,"&gt;="&amp;$D$4,Base_Dados!$B$3:$B$2000,"&lt;="&amp;$D$5,Base_Dados!$F$3:$F$2000,$D$6,Base_Dados!$G$3:$G$2000,$D$7,Base_Dados!$H$3:$H$2000,A21,Base_Dados!$I$3:$I$2000,$D$9),0)</f>
        <v>0</v>
      </c>
      <c r="F21" s="24">
        <f>IFERROR(AVERAGEIFS(Base_Dados!$U$3:$U$2000,Base_Dados!$B$3:$B$2000,"&gt;="&amp;$D$4,Base_Dados!$B$3:$B$2000,"&lt;="&amp;$D$5,Base_Dados!$F$3:$F$2000,$D$6,Base_Dados!$G$3:$G$2000,$D$7,Base_Dados!$H$3:$H$2000,A21,Base_Dados!$I$3:$I$2000,$D$9,Base_Dados!$P$3:$P$2000,$D$10),0)</f>
        <v>0</v>
      </c>
    </row>
    <row r="22" spans="1:6" x14ac:dyDescent="0.25">
      <c r="A22" s="8" t="s">
        <v>123</v>
      </c>
      <c r="B22" s="14">
        <f>COUNTIFS(Base_Dados!$B$3:$B$2000,"&gt;="&amp;$D$4,Base_Dados!$B$3:$B$2000,"&lt;="&amp;$D$5,Base_Dados!$F$3:$F$2000,$D$6,Base_Dados!$G$3:$G$2000,D15,Base_Dados!$H$3:$H$2000,A22,Base_Dados!$I$3:$I$2000,$D$9)</f>
        <v>0</v>
      </c>
      <c r="C22" s="14">
        <f>SUMIFS(Base_Dados!$L$3:$L$2000,Base_Dados!$B$3:$B$2000,"&gt;="&amp;$D$4,Base_Dados!$B$3:$B$2000,"&lt;="&amp;$D$5,Base_Dados!$F$3:$F$2000,$D$6,Base_Dados!$G$3:$G$2000,$D$7,Base_Dados!$H$3:$H$2000,A22,Base_Dados!$I$3:$I$2000,$D$9)</f>
        <v>223</v>
      </c>
      <c r="D22" s="24">
        <f>IFERROR(SUMIFS(Base_Dados!$L$3:$L$2000,Base_Dados!$B$3:$B$2000,"&gt;="&amp;$D$4,Base_Dados!$B$3:$B$2000,"&lt;="&amp;$D$5,Base_Dados!$F$3:$F$2000,$D$6,Base_Dados!$G$3:$G$2000,$D$7,Base_Dados!$H$3:$H$2000,A22,Base_Dados!$I$3:$I$2000,$D$9)/SUMIFS(Base_Dados!$K$3:$K$2000,Base_Dados!$B$3:$B$2000,"&gt;="&amp;$D$4,Base_Dados!$B$3:$B$2000,"&lt;="&amp;$D$5,Base_Dados!$F$3:$F$2000,$D$6,Base_Dados!$G$3:$G$2000,$D$7,Base_Dados!$H$3:$H$2000,A22,Base_Dados!$I$3:$I$2000,$D$9),0)</f>
        <v>1</v>
      </c>
      <c r="E22" s="23">
        <f>IFERROR(AVERAGEIFS(Base_Dados!$O$3:$O$2000,Base_Dados!$B$3:$B$2000,"&gt;="&amp;$D$4,Base_Dados!$B$3:$B$2000,"&lt;="&amp;$D$5,Base_Dados!$F$3:$F$2000,$D$6,Base_Dados!$G$3:$G$2000,$D$7,Base_Dados!$H$3:$H$2000,A22,Base_Dados!$I$3:$I$2000,$D$9),0)</f>
        <v>0</v>
      </c>
      <c r="F22" s="24">
        <f>IFERROR(AVERAGEIFS(Base_Dados!$U$3:$U$2000,Base_Dados!$B$3:$B$2000,"&gt;="&amp;$D$4,Base_Dados!$B$3:$B$2000,"&lt;="&amp;$D$5,Base_Dados!$F$3:$F$2000,$D$6,Base_Dados!$G$3:$G$2000,$D$7,Base_Dados!$H$3:$H$2000,A22,Base_Dados!$I$3:$I$2000,$D$9,Base_Dados!$P$3:$P$2000,$D$10),0)</f>
        <v>0</v>
      </c>
    </row>
    <row r="23" spans="1:6" x14ac:dyDescent="0.25">
      <c r="A23" s="8" t="s">
        <v>124</v>
      </c>
      <c r="B23" s="14">
        <f>COUNTIFS(Base_Dados!$B$3:$B$2000,"&gt;="&amp;$D$4,Base_Dados!$B$3:$B$2000,"&lt;="&amp;$D$5,Base_Dados!$F$3:$F$2000,$D$6,Base_Dados!$G$3:$G$2000,D16,Base_Dados!$H$3:$H$2000,A23,Base_Dados!$I$3:$I$2000,$D$9)</f>
        <v>0</v>
      </c>
      <c r="C23" s="14">
        <f>SUMIFS(Base_Dados!$L$3:$L$2000,Base_Dados!$B$3:$B$2000,"&gt;="&amp;$D$4,Base_Dados!$B$3:$B$2000,"&lt;="&amp;$D$5,Base_Dados!$F$3:$F$2000,$D$6,Base_Dados!$G$3:$G$2000,$D$7,Base_Dados!$H$3:$H$2000,A23,Base_Dados!$I$3:$I$2000,$D$9)</f>
        <v>34</v>
      </c>
      <c r="D23" s="24">
        <f>IFERROR(SUMIFS(Base_Dados!$L$3:$L$2000,Base_Dados!$B$3:$B$2000,"&gt;="&amp;$D$4,Base_Dados!$B$3:$B$2000,"&lt;="&amp;$D$5,Base_Dados!$F$3:$F$2000,$D$6,Base_Dados!$G$3:$G$2000,$D$7,Base_Dados!$H$3:$H$2000,A23,Base_Dados!$I$3:$I$2000,$D$9)/SUMIFS(Base_Dados!$K$3:$K$2000,Base_Dados!$B$3:$B$2000,"&gt;="&amp;$D$4,Base_Dados!$B$3:$B$2000,"&lt;="&amp;$D$5,Base_Dados!$F$3:$F$2000,$D$6,Base_Dados!$G$3:$G$2000,$D$7,Base_Dados!$H$3:$H$2000,A23,Base_Dados!$I$3:$I$2000,$D$9),0)</f>
        <v>1</v>
      </c>
      <c r="E23" s="23">
        <f>IFERROR(AVERAGEIFS(Base_Dados!$O$3:$O$2000,Base_Dados!$B$3:$B$2000,"&gt;="&amp;$D$4,Base_Dados!$B$3:$B$2000,"&lt;="&amp;$D$5,Base_Dados!$F$3:$F$2000,$D$6,Base_Dados!$G$3:$G$2000,$D$7,Base_Dados!$H$3:$H$2000,A23,Base_Dados!$I$3:$I$2000,$D$9),0)</f>
        <v>0</v>
      </c>
      <c r="F23" s="24">
        <f>IFERROR(AVERAGEIFS(Base_Dados!$U$3:$U$2000,Base_Dados!$B$3:$B$2000,"&gt;="&amp;$D$4,Base_Dados!$B$3:$B$2000,"&lt;="&amp;$D$5,Base_Dados!$F$3:$F$2000,$D$6,Base_Dados!$G$3:$G$2000,$D$7,Base_Dados!$H$3:$H$2000,A23,Base_Dados!$I$3:$I$2000,$D$9,Base_Dados!$P$3:$P$2000,$D$10),0)</f>
        <v>0</v>
      </c>
    </row>
    <row r="24" spans="1:6" x14ac:dyDescent="0.25">
      <c r="A24" s="8" t="s">
        <v>125</v>
      </c>
      <c r="B24" s="14">
        <f>COUNTIFS(Base_Dados!$B$3:$B$2000,"&gt;="&amp;$D$4,Base_Dados!$B$3:$B$2000,"&lt;="&amp;$D$5,Base_Dados!$F$3:$F$2000,$D$6,Base_Dados!$G$3:$G$2000,D17,Base_Dados!$H$3:$H$2000,A24,Base_Dados!$I$3:$I$2000,$D$9)</f>
        <v>0</v>
      </c>
      <c r="C24" s="14">
        <f>SUMIFS(Base_Dados!$L$3:$L$2000,Base_Dados!$B$3:$B$2000,"&gt;="&amp;$D$4,Base_Dados!$B$3:$B$2000,"&lt;="&amp;$D$5,Base_Dados!$F$3:$F$2000,$D$6,Base_Dados!$G$3:$G$2000,$D$7,Base_Dados!$H$3:$H$2000,A24,Base_Dados!$I$3:$I$2000,$D$9)</f>
        <v>21</v>
      </c>
      <c r="D24" s="24">
        <f>IFERROR(SUMIFS(Base_Dados!$L$3:$L$2000,Base_Dados!$B$3:$B$2000,"&gt;="&amp;$D$4,Base_Dados!$B$3:$B$2000,"&lt;="&amp;$D$5,Base_Dados!$F$3:$F$2000,$D$6,Base_Dados!$G$3:$G$2000,$D$7,Base_Dados!$H$3:$H$2000,A24,Base_Dados!$I$3:$I$2000,$D$9)/SUMIFS(Base_Dados!$K$3:$K$2000,Base_Dados!$B$3:$B$2000,"&gt;="&amp;$D$4,Base_Dados!$B$3:$B$2000,"&lt;="&amp;$D$5,Base_Dados!$F$3:$F$2000,$D$6,Base_Dados!$G$3:$G$2000,$D$7,Base_Dados!$H$3:$H$2000,A24,Base_Dados!$I$3:$I$2000,$D$9),0)</f>
        <v>1</v>
      </c>
      <c r="E24" s="23">
        <f>IFERROR(AVERAGEIFS(Base_Dados!$O$3:$O$2000,Base_Dados!$B$3:$B$2000,"&gt;="&amp;$D$4,Base_Dados!$B$3:$B$2000,"&lt;="&amp;$D$5,Base_Dados!$F$3:$F$2000,$D$6,Base_Dados!$G$3:$G$2000,$D$7,Base_Dados!$H$3:$H$2000,A24,Base_Dados!$I$3:$I$2000,$D$9),0)</f>
        <v>0</v>
      </c>
      <c r="F24" s="24">
        <f>IFERROR(AVERAGEIFS(Base_Dados!$U$3:$U$2000,Base_Dados!$B$3:$B$2000,"&gt;="&amp;$D$4,Base_Dados!$B$3:$B$2000,"&lt;="&amp;$D$5,Base_Dados!$F$3:$F$2000,$D$6,Base_Dados!$G$3:$G$2000,$D$7,Base_Dados!$H$3:$H$2000,A24,Base_Dados!$I$3:$I$2000,$D$9,Base_Dados!$P$3:$P$2000,$D$10),0)</f>
        <v>0</v>
      </c>
    </row>
    <row r="34" spans="1:8" x14ac:dyDescent="0.25">
      <c r="A34" s="39" t="s">
        <v>100</v>
      </c>
      <c r="B34" s="32"/>
      <c r="C34" s="32"/>
      <c r="D34" s="32"/>
      <c r="E34" s="32"/>
      <c r="F34" s="32"/>
      <c r="G34" s="32"/>
      <c r="H34" s="32"/>
    </row>
  </sheetData>
  <mergeCells count="4">
    <mergeCell ref="A3:C3"/>
    <mergeCell ref="A1:L1"/>
    <mergeCell ref="A12:F12"/>
    <mergeCell ref="A34:H3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Dimensoes!$F$3:$F$7</xm:f>
          </x14:formula1>
          <xm:sqref>B10</xm:sqref>
        </x14:dataValidation>
        <x14:dataValidation type="list" allowBlank="1" showInputMessage="1" showErrorMessage="1">
          <x14:formula1>
            <xm:f>Dimensoes!$E$3:$E$5</xm:f>
          </x14:formula1>
          <xm:sqref>B9</xm:sqref>
        </x14:dataValidation>
        <x14:dataValidation type="list" allowBlank="1" showInputMessage="1" showErrorMessage="1">
          <x14:formula1>
            <xm:f>Dimensoes!$D$3:$D$14</xm:f>
          </x14:formula1>
          <xm:sqref>B8</xm:sqref>
        </x14:dataValidation>
        <x14:dataValidation type="list" allowBlank="1" showInputMessage="1" showErrorMessage="1">
          <x14:formula1>
            <xm:f>Dimensoes!$A$3:$A$11</xm:f>
          </x14:formula1>
          <xm:sqref>B6</xm:sqref>
        </x14:dataValidation>
        <x14:dataValidation type="list" allowBlank="1" showInputMessage="1" showErrorMessage="1">
          <x14:formula1>
            <xm:f>Dimensoes!$B$3:$B$11</xm:f>
          </x14:formula1>
          <xm:sqref>B7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showGridLines="0" workbookViewId="0">
      <selection activeCell="A13" sqref="A13:B16"/>
    </sheetView>
  </sheetViews>
  <sheetFormatPr defaultRowHeight="15" x14ac:dyDescent="0.25"/>
  <cols>
    <col min="1" max="1" width="18" customWidth="1"/>
    <col min="2" max="2" width="110" customWidth="1"/>
    <col min="3" max="3" width="18" customWidth="1"/>
  </cols>
  <sheetData>
    <row r="1" spans="1:12" ht="33.950000000000003" customHeight="1" x14ac:dyDescent="0.25">
      <c r="A1" s="31" t="s">
        <v>101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x14ac:dyDescent="0.25">
      <c r="A3" s="36" t="s">
        <v>78</v>
      </c>
      <c r="B3" s="32"/>
    </row>
    <row r="4" spans="1:12" ht="45" x14ac:dyDescent="0.25">
      <c r="A4" s="15" t="s">
        <v>102</v>
      </c>
      <c r="B4" s="6" t="str">
        <f>CONCATENATE("No período de ",TEXT(Dashboard_Semanal!B4,"dd/mm/yyyy")," a ",TEXT(Dashboard_Semanal!B5,"dd/mm/yyyy"),", foram realizados ",Dashboard_Semanal!E3," treinamentos, com ",Dashboard_Semanal!G3," presenças registradas e taxa média de presença de ",TEXT(Dashboard_Semanal!I3,"0.0%"),". A nota média foi ",TEXT(Dashboard_Semanal!E5,"0.0")," e a evolução média do indicador selecionado foi ",TEXT(Dashboard_Semanal!G5,"0.0%")," (",TEXT(Dashboard_Semanal!I5,"0.0%")," das turmas com impacto positivo).")</f>
        <v>No período de 01/02/yyyy a 28/02/yyyy, foram realizados 10 treinamentos, com 513 presenças registradas e taxa média de presença de 93%. A nota média foi 00 e a evolução média do indicador selecionado foi 00% (00% das turmas com impacto positivo).</v>
      </c>
    </row>
    <row r="6" spans="1:12" x14ac:dyDescent="0.25">
      <c r="A6" s="36" t="s">
        <v>103</v>
      </c>
      <c r="B6" s="32"/>
    </row>
    <row r="7" spans="1:12" ht="30" x14ac:dyDescent="0.25">
      <c r="A7" s="15" t="s">
        <v>102</v>
      </c>
      <c r="B7" s="6" t="str">
        <f>CONCATENATE("No mês (",TEXT(Dashboard_Mensal!B4,"mm/yyyy"),"), foram ",Dashboard_Mensal!E3," treinamentos e ",Dashboard_Mensal!G3," presenças, com presença média de ",TEXT(Dashboard_Mensal!I3,"0.0%"),". Nota média ",TEXT(Dashboard_Mensal!E5,"0.0")," e evolução média ",TEXT(Dashboard_Mensal!G5,"0.0%"),".")</f>
        <v>No mês (02/yyyy), foram 10 treinamentos e 513 presenças, com presença média de 93%. Nota média 00 e evolução média 00%.</v>
      </c>
    </row>
    <row r="9" spans="1:12" x14ac:dyDescent="0.25">
      <c r="A9" s="36" t="s">
        <v>104</v>
      </c>
      <c r="B9" s="32"/>
    </row>
    <row r="10" spans="1:12" ht="30" x14ac:dyDescent="0.25">
      <c r="A10" s="15" t="s">
        <v>102</v>
      </c>
      <c r="B10" s="6" t="str">
        <f>CONCATENATE("No acumulado do ano ",Dashboard_Acumulado!B12,", foram ",Dashboard_Acumulado!E3," treinamentos e ",Dashboard_Acumulado!G3," presenças, com presença média de ",TEXT(Dashboard_Acumulado!I3,"0.0%"),". Nota média ",TEXT(Dashboard_Acumulado!E5,"0.0")," e evolução média ",TEXT(Dashboard_Acumulado!G5,"0.0%"),".")</f>
        <v>No acumulado do ano 2026, foram 15 treinamentos e 858 presenças, com presença média de 96%. Nota média 00 e evolução média 00%.</v>
      </c>
    </row>
    <row r="12" spans="1:12" x14ac:dyDescent="0.25">
      <c r="A12" s="36" t="s">
        <v>105</v>
      </c>
      <c r="B12" s="32"/>
    </row>
    <row r="13" spans="1:12" x14ac:dyDescent="0.25">
      <c r="A13" s="41" t="s">
        <v>106</v>
      </c>
      <c r="B13" s="32"/>
    </row>
    <row r="14" spans="1:12" x14ac:dyDescent="0.25">
      <c r="A14" s="41" t="s">
        <v>107</v>
      </c>
      <c r="B14" s="32"/>
    </row>
    <row r="15" spans="1:12" x14ac:dyDescent="0.25">
      <c r="A15" s="41" t="s">
        <v>108</v>
      </c>
      <c r="B15" s="32"/>
    </row>
    <row r="16" spans="1:12" x14ac:dyDescent="0.25">
      <c r="A16" s="41" t="s">
        <v>109</v>
      </c>
      <c r="B16" s="32"/>
    </row>
  </sheetData>
  <mergeCells count="9">
    <mergeCell ref="A16:B16"/>
    <mergeCell ref="A15:B15"/>
    <mergeCell ref="A1:L1"/>
    <mergeCell ref="A13:B13"/>
    <mergeCell ref="A14:B14"/>
    <mergeCell ref="A9:B9"/>
    <mergeCell ref="A3:B3"/>
    <mergeCell ref="A6:B6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Base_Dados</vt:lpstr>
      <vt:lpstr>Dimensoes</vt:lpstr>
      <vt:lpstr>Dashboard_Semanal</vt:lpstr>
      <vt:lpstr>Dashboard_Mensal</vt:lpstr>
      <vt:lpstr>Dashboard_Acumulado</vt:lpstr>
      <vt:lpstr>Efetividade</vt:lpstr>
      <vt:lpstr>Instrutores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AMILIS DE OLIVEIRA SANTOS</cp:lastModifiedBy>
  <dcterms:created xsi:type="dcterms:W3CDTF">2026-03-02T19:38:44Z</dcterms:created>
  <dcterms:modified xsi:type="dcterms:W3CDTF">2026-03-12T20:12:18Z</dcterms:modified>
</cp:coreProperties>
</file>